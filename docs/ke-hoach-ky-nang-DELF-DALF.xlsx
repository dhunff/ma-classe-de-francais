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Đọc trước" sheetId="1" r:id="rId1"/>
    <sheet name="Tổng quan" sheetId="2" r:id="rId2"/>
    <sheet name="A1" sheetId="3" r:id="rId3"/>
    <sheet name="A2" sheetId="4" r:id="rId4"/>
    <sheet name="B1" sheetId="5" r:id="rId5"/>
    <sheet name="B2" sheetId="6" r:id="rId6"/>
    <sheet name="C1" sheetId="7" r:id="rId7"/>
    <sheet name="C2" sheetId="8" r:id="rId8"/>
  </sheets>
  <definedNames>
    <definedName name="_xlnm._FilterDatabase" localSheetId="2" hidden="1">'A1'!$A$4:$J$28</definedName>
    <definedName name="_xlnm._FilterDatabase" localSheetId="3" hidden="1">'A2'!$A$4:$J$27</definedName>
    <definedName name="_xlnm._FilterDatabase" localSheetId="4" hidden="1">'B1'!$A$4:$J$29</definedName>
    <definedName name="_xlnm._FilterDatabase" localSheetId="5" hidden="1">'B2'!$A$4:$J$27</definedName>
    <definedName name="_xlnm._FilterDatabase" localSheetId="6" hidden="1">'C1'!$A$4:$J$28</definedName>
    <definedName name="_xlnm._FilterDatabase" localSheetId="7" hidden="1">'C2'!$A$4:$J$21</definedName>
    <definedName name="_xlnm._FilterDatabase" localSheetId="1" hidden="1">'Tổng quan'!$A$12:$I$36</definedName>
  </definedNames>
  <calcPr calcId="124519" fullCalcOnLoad="1"/>
</workbook>
</file>

<file path=xl/sharedStrings.xml><?xml version="1.0" encoding="utf-8"?>
<sst xmlns="http://schemas.openxmlformats.org/spreadsheetml/2006/main" count="1491" uniqueCount="730">
  <si>
    <t>Kỹ năng cần có để thi DELF và DALF</t>
  </si>
  <si>
    <t>Bản đồ bài tập cho thẻ Luyện tập của FRACILE, lập ngày 31/10/2026</t>
  </si>
  <si>
    <t>Cách xem file này</t>
  </si>
  <si>
    <t>Tab Tổng quan</t>
  </si>
  <si>
    <t>Xem nhanh mỗi trình độ thi gì, cần bao nhiêu kỹ năng nhỏ, bao nhiêu bài, đang thiếu bao nhiêu.</t>
  </si>
  <si>
    <t>Tab A1 đến C2</t>
  </si>
  <si>
    <t>Mỗi tab là một trình độ. Mỗi dòng là MỘT kỹ năng nhỏ học sinh cần có.</t>
  </si>
  <si>
    <t>Bộ lọc</t>
  </si>
  <si>
    <t>Bấm mũi tên ở dòng tiêu đề của tab để lọc riêng Nghe, Đọc, Viết hoặc Nói.</t>
  </si>
  <si>
    <t>Ý nghĩa từng cột</t>
  </si>
  <si>
    <t>Kỹ năng lớn</t>
  </si>
  <si>
    <t>Nghe, Đọc, Viết hoặc Nói.</t>
  </si>
  <si>
    <t>Mã</t>
  </si>
  <si>
    <t>Tên riêng của kỹ năng nhỏ. Ví dụ A1-CO-4 là kỹ năng số 4 của phần Nghe A1. CO: Nghe, CE: Đọc, PE: Viết, PO: Nói.</t>
  </si>
  <si>
    <t>Kỹ năng nhỏ cần có</t>
  </si>
  <si>
    <t>Việc cụ thể học sinh phải làm được.</t>
  </si>
  <si>
    <t>Luyện bằng bài tập gì</t>
  </si>
  <si>
    <t>Nội dung bài tập sẽ soạn.</t>
  </si>
  <si>
    <t>Dạng bài trong app</t>
  </si>
  <si>
    <t>Học sinh làm bài theo cách nào trên FRACILE.</t>
  </si>
  <si>
    <t>Số bài</t>
  </si>
  <si>
    <t>Số bài tập nên có cho kỹ năng đó.</t>
  </si>
  <si>
    <t>Dùng ở phần nào của đề</t>
  </si>
  <si>
    <t>Kỹ năng này lấy điểm ở đâu trong đề.</t>
  </si>
  <si>
    <t>Điểm hoặc tiêu chí chấm</t>
  </si>
  <si>
    <t>Số trong ngoặc là điểm tối đa của tiêu chí đó.</t>
  </si>
  <si>
    <t>Luyện xong làm được gì</t>
  </si>
  <si>
    <t>Kết quả học sinh đạt được cho kỳ thi.</t>
  </si>
  <si>
    <t>App làm được chưa</t>
  </si>
  <si>
    <t>Xanh: làm được bằng tính năng hiện có. Vàng: cần xây thêm trước khi có bài.</t>
  </si>
  <si>
    <t>Ví dụ đọc một dòng</t>
  </si>
  <si>
    <t>A1-CO-4: học sinh phải nhận ra tình huống hội thoại. Bài tập là ghép 4 hội thoại với 6 hình. Kỹ năng này lấy điểm ở Bài 4 (8 điểm). Luyện xong thì đoán đúng người nói đang ở đâu, đang làm gì, dù không hiểu hết từ.</t>
  </si>
  <si>
    <t>Cần lưu ý</t>
  </si>
  <si>
    <t>Format A1, B1, B2</t>
  </si>
  <si>
    <t>Theo bảng docs/format-de-thi-DELF-A1-B2.xlsx, có nguồn chính thức.</t>
  </si>
  <si>
    <t>Format A2</t>
  </si>
  <si>
    <t>Từ tài liệu luyện thi, chưa đối chiếu sujet mẫu của FEI.</t>
  </si>
  <si>
    <t>Format C1, C2</t>
  </si>
  <si>
    <t>Tổng hợp từ các trang luyện thi và hiểu biết chung, trang FEI chặn truy cập tự động. Cần đối chiếu trước khi soạn, nhất là số từ, thời lượng và điểm sàn C2.</t>
  </si>
  <si>
    <t>Điểm tiêu chí</t>
  </si>
  <si>
    <t>A1 đến B2 lấy từ thang chấm trong app. C1 Viết là thang rút gọn của app, không phải grille chính thức. C2 chưa có thang chấm.</t>
  </si>
  <si>
    <t>Là đề xuất để lập kế hoạch, không phải quy định của kỳ thi.</t>
  </si>
  <si>
    <t>Làm xong không bảo đảm đậu</t>
  </si>
  <si>
    <t>Cột cuối mô tả năng lực luyện được, không phải dự đoán điểm thi.</t>
  </si>
  <si>
    <t>Số bài đang có</t>
  </si>
  <si>
    <t>Đo trên database thật ngày 31/10/2026, chỉ đếm bốn kỹ năng, chưa rà xem từng bài có khớp kỹ năng nhỏ không. Số màu xanh dương ở tab Tổng quan là số nhập tay, sửa được.</t>
  </si>
  <si>
    <t>DELF A1: kỹ năng nhỏ cần có</t>
  </si>
  <si>
    <t>Xử lý được thông tin rất cụ thể về bản thân và đời sống hằng ngày.</t>
  </si>
  <si>
    <t>Thi viết 1 giờ 20, nói 5–7 phút. Điều kiện đậu: Từ 50/100, mỗi kỹ năng từ 5/25.</t>
  </si>
  <si>
    <t>Nghe</t>
  </si>
  <si>
    <t>A1-CO-1</t>
  </si>
  <si>
    <t>Nghe số, giờ, ngày, giá</t>
  </si>
  <si>
    <t>Nghe rồi chọn hoặc gõ con số</t>
  </si>
  <si>
    <t>Chọn đáp án, Điền từ</t>
  </si>
  <si>
    <t>Bài 1, 2, 3</t>
  </si>
  <si>
    <t>Mỗi câu chi tiết</t>
  </si>
  <si>
    <t>Không mất điểm oan vì nghe nhầm số, giờ, ngày</t>
  </si>
  <si>
    <t>Làm được ngay</t>
  </si>
  <si>
    <t>A1-CO-2</t>
  </si>
  <si>
    <t>Hiểu tin nhắn thoại: ai, việc gì, khi nào</t>
  </si>
  <si>
    <t>Nghe tin nhắn ngắn, trả lời bằng chữ hoặc hình</t>
  </si>
  <si>
    <t>Chọn đáp án</t>
  </si>
  <si>
    <t>Bài 1, 3</t>
  </si>
  <si>
    <t>Bài 1 và 3: 4 điểm mỗi bài</t>
  </si>
  <si>
    <t>Nghe một tin nhắn và nói lại được ai hẹn gì, lúc nào</t>
  </si>
  <si>
    <t>A1-CO-3</t>
  </si>
  <si>
    <t>Hiểu thông báo nơi công cộng</t>
  </si>
  <si>
    <t>Nghe thông báo ở ga tàu, siêu thị, trường học</t>
  </si>
  <si>
    <t>Bài 2</t>
  </si>
  <si>
    <t>4 điểm</t>
  </si>
  <si>
    <t>Lấy được thông tin chính từ thông báo: giờ, nơi, việc cần làm</t>
  </si>
  <si>
    <t>A1-CO-4</t>
  </si>
  <si>
    <t>Nhận ra tình huống hội thoại</t>
  </si>
  <si>
    <t>Ghép 4 hội thoại với 6 hình</t>
  </si>
  <si>
    <t>Ghép cặp</t>
  </si>
  <si>
    <t>Bài 4</t>
  </si>
  <si>
    <t>8 điểm</t>
  </si>
  <si>
    <t>Đoán đúng người nói đang ở đâu, đang làm gì, dù không hiểu hết từ</t>
  </si>
  <si>
    <t>Làm được, cần kiểm hình</t>
  </si>
  <si>
    <t>A1-CO-5</t>
  </si>
  <si>
    <t>Nhận ra đồ vật được nhắc tới</t>
  </si>
  <si>
    <t>Nghe tin nhắn, chọn Có/Không cho 5 đồ vật</t>
  </si>
  <si>
    <t>Đúng/Sai</t>
  </si>
  <si>
    <t>Bài 5</t>
  </si>
  <si>
    <t>5 điểm</t>
  </si>
  <si>
    <t>Nhận ra từ quen khi nghe trong câu nói tự nhiên</t>
  </si>
  <si>
    <t>A1-CO-T3</t>
  </si>
  <si>
    <t>Làm trọn phần thi có đồng hồ</t>
  </si>
  <si>
    <t>Mô phỏng phần Nghe: đúng giờ, đúng luật, không gợi ý</t>
  </si>
  <si>
    <t>Phần thi thu nhỏ</t>
  </si>
  <si>
    <t>Cả phần thi</t>
  </si>
  <si>
    <t>Quy về thang điểm của đề</t>
  </si>
  <si>
    <t>Biết mình đang ở mức bao nhiêu điểm trước khi thi thử thật</t>
  </si>
  <si>
    <t>Cần thêm tính năng</t>
  </si>
  <si>
    <t>Đọc</t>
  </si>
  <si>
    <t>A1-CE-1</t>
  </si>
  <si>
    <t>Tìm ai, ở đâu, khi nào trong tin nhắn</t>
  </si>
  <si>
    <t>Đọc tin nhắn, email của bạn bè</t>
  </si>
  <si>
    <t>Bài 1</t>
  </si>
  <si>
    <t>6 điểm</t>
  </si>
  <si>
    <t>Đọc tin nhắn ngắn và biết mình cần làm gì</t>
  </si>
  <si>
    <t>A1-CE-2</t>
  </si>
  <si>
    <t>Đọc chỉ dẫn đường</t>
  </si>
  <si>
    <t>Nối chỉ dẫn với sơ đồ</t>
  </si>
  <si>
    <t>Đi theo chỉ dẫn viết: rẽ trái, đi thẳng, đối diện</t>
  </si>
  <si>
    <t>A1-CE-3</t>
  </si>
  <si>
    <t>Đọc lịch, thời gian biểu</t>
  </si>
  <si>
    <t>Tra bảng giờ, lịch hoạt động</t>
  </si>
  <si>
    <t>Chọn đáp án, Bảng tick</t>
  </si>
  <si>
    <t>Bài 3</t>
  </si>
  <si>
    <t>Tra đúng ngày giờ trong bảng</t>
  </si>
  <si>
    <t>A1-CE-4</t>
  </si>
  <si>
    <t>Đọc quảng cáo, tờ thông tin</t>
  </si>
  <si>
    <t>Tìm giá, địa chỉ, giờ mở cửa</t>
  </si>
  <si>
    <t>7 điểm</t>
  </si>
  <si>
    <t>Tìm nhanh thông tin cần trong một tờ quảng cáo</t>
  </si>
  <si>
    <t>A1-CE-5</t>
  </si>
  <si>
    <t>Chép đúng thông tin khi trả lời ngắn</t>
  </si>
  <si>
    <t>Trả lời bằng đúng từ trong tài liệu</t>
  </si>
  <si>
    <t>Điền từ</t>
  </si>
  <si>
    <t>Câu trả lời ngắn</t>
  </si>
  <si>
    <t>Mỗi câu ngắn</t>
  </si>
  <si>
    <t>Trả lời gọn, chép đúng chính tả</t>
  </si>
  <si>
    <t>A1-CE-T3</t>
  </si>
  <si>
    <t>Mô phỏng phần Đọc: đúng giờ, đúng luật, không gợi ý</t>
  </si>
  <si>
    <t>Viết</t>
  </si>
  <si>
    <t>A1-PE-1</t>
  </si>
  <si>
    <t>Điền phiếu thông tin</t>
  </si>
  <si>
    <t>Điền phiếu khách sạn, đăng ký 10 ô</t>
  </si>
  <si>
    <t>Điền phiếu</t>
  </si>
  <si>
    <t>Điền phiếu (10 điểm trên đề)</t>
  </si>
  <si>
    <t>Điền đúng ngày sinh, quốc tịch, địa chỉ, nghề nghiệp</t>
  </si>
  <si>
    <t>A1-PE-2</t>
  </si>
  <si>
    <t>Giới thiệu và mô tả</t>
  </si>
  <si>
    <t>Viết về mình, gia đình, sở thích</t>
  </si>
  <si>
    <t>Viết tự do + AI nhận xét</t>
  </si>
  <si>
    <t>Giới thiệu, mô tả (6)</t>
  </si>
  <si>
    <t>Viết vài câu đơn giản về bản thân</t>
  </si>
  <si>
    <t>A1-PE-3</t>
  </si>
  <si>
    <t>Viết thư ngắn đúng yêu cầu</t>
  </si>
  <si>
    <t>Viết thư mời, kể hoạt động, từ 40 từ</t>
  </si>
  <si>
    <t>Bám đề (3)</t>
  </si>
  <si>
    <t>Viết thư đủ từ, đủ ý, có mở đầu và kết thúc</t>
  </si>
  <si>
    <t>A1-PE-4</t>
  </si>
  <si>
    <t>Viết câu đơn đúng</t>
  </si>
  <si>
    <t>Chia động từ hiện tại, hợp giống và số</t>
  </si>
  <si>
    <t>Ngữ pháp (5)</t>
  </si>
  <si>
    <t>Viết câu cơ bản đúng ngữ pháp</t>
  </si>
  <si>
    <t>A1-PE-5</t>
  </si>
  <si>
    <t>Viết đúng từ, nối câu</t>
  </si>
  <si>
    <t>Chính tả từ thường gặp, dùng et, mais, alors</t>
  </si>
  <si>
    <t>Điền từ, Xếp thứ tự</t>
  </si>
  <si>
    <t>Từ vựng (5), Mạch lạc (3)</t>
  </si>
  <si>
    <t>Nối được các câu đơn thành đoạn ngắn</t>
  </si>
  <si>
    <t>A1-PE-T3</t>
  </si>
  <si>
    <t>Mô phỏng phần Viết: đúng giờ, đúng luật, không gợi ý</t>
  </si>
  <si>
    <t>Nói</t>
  </si>
  <si>
    <t>A1-PO-1</t>
  </si>
  <si>
    <t>Trả lời về bản thân</t>
  </si>
  <si>
    <t>Nghe câu hỏi, ghi âm câu trả lời</t>
  </si>
  <si>
    <t>Ghi âm + AI nhận xét</t>
  </si>
  <si>
    <t>Phần 1</t>
  </si>
  <si>
    <t>Entretien (5)</t>
  </si>
  <si>
    <t>Tự giới thiệu và trả lời câu hỏi cá nhân</t>
  </si>
  <si>
    <t>A1-PO-2</t>
  </si>
  <si>
    <t>Đặt câu hỏi từ thẻ gợi ý</t>
  </si>
  <si>
    <t>Nhìn từ khoá, nói thành câu hỏi</t>
  </si>
  <si>
    <t>Phần 2</t>
  </si>
  <si>
    <t>Échange (4)</t>
  </si>
  <si>
    <t>Đặt được câu hỏi đơn giản</t>
  </si>
  <si>
    <t>A1-PO-3</t>
  </si>
  <si>
    <t>Nhập vai mua bán</t>
  </si>
  <si>
    <t>Hỏi giá, đặt hàng, trả tiền</t>
  </si>
  <si>
    <t>Phần 3</t>
  </si>
  <si>
    <t>Dialogue (4)</t>
  </si>
  <si>
    <t>Mua được món đồ bằng tiếng Pháp</t>
  </si>
  <si>
    <t>A1-PO-4</t>
  </si>
  <si>
    <t>Dùng công thức lịch sự</t>
  </si>
  <si>
    <t>Chào, xin, cảm ơn đúng tình huống</t>
  </si>
  <si>
    <t>Chọn đáp án, Ghi âm + AI nhận xét</t>
  </si>
  <si>
    <t>Lịch sự (3)</t>
  </si>
  <si>
    <t>Giao tiếp lịch sự, đúng tình huống</t>
  </si>
  <si>
    <t>A1-PO-5</t>
  </si>
  <si>
    <t>Nói rõ để người nghe hiểu</t>
  </si>
  <si>
    <t>Đọc theo câu mẫu, chấm phát âm</t>
  </si>
  <si>
    <t>Nghe &amp; Nói có sẵn</t>
  </si>
  <si>
    <t>Cả bài nói</t>
  </si>
  <si>
    <t>Phát âm (3)</t>
  </si>
  <si>
    <t>Người nghe hiểu được, dù còn giọng Việt</t>
  </si>
  <si>
    <t>A1-PO-T3</t>
  </si>
  <si>
    <t>Mô phỏng phần Nói: đúng giờ, đúng luật, không gợi ý</t>
  </si>
  <si>
    <t>Tổng</t>
  </si>
  <si>
    <t>DELF A2: kỹ năng nhỏ cần có</t>
  </si>
  <si>
    <t>Xử lý được việc quen thuộc, kể lại được chuyện đã xảy ra.</t>
  </si>
  <si>
    <t>Thi viết 1 giờ 40, nói 6–8 phút. Điều kiện đậu: Từ 50/100, mỗi kỹ năng từ 5/25.</t>
  </si>
  <si>
    <t>A2-CO-1</t>
  </si>
  <si>
    <t>Hiểu thông báo công cộng</t>
  </si>
  <si>
    <t>Nghe thông báo giao thông, cửa hàng</t>
  </si>
  <si>
    <t>Mỗi câu</t>
  </si>
  <si>
    <t>Lấy được thông tin chính từ thông báo</t>
  </si>
  <si>
    <t>A2-CO-2</t>
  </si>
  <si>
    <t>Hiểu tin nhắn, bản tin ngắn</t>
  </si>
  <si>
    <t>Lấy ý chính và một chi tiết</t>
  </si>
  <si>
    <t>Nghe tin ngắn trên radio và nói lại nội dung</t>
  </si>
  <si>
    <t>A2-CO-3</t>
  </si>
  <si>
    <t>Hiểu radio, phỏng vấn ngắn</t>
  </si>
  <si>
    <t>Xác định chủ đề, ý kiến đơn giản</t>
  </si>
  <si>
    <t>Hiểu người nói thích hay không thích điều gì</t>
  </si>
  <si>
    <t>A2-CO-4</t>
  </si>
  <si>
    <t>Nhận diện tình huống</t>
  </si>
  <si>
    <t>Ghép 4 hội thoại với 6 tình huống</t>
  </si>
  <si>
    <t>Mỗi hội thoại</t>
  </si>
  <si>
    <t>Hiểu mục đích một đoạn hội thoại ngắn</t>
  </si>
  <si>
    <t>A2-CO-5</t>
  </si>
  <si>
    <t>Giữ nhịp qua nhiều tài liệu</t>
  </si>
  <si>
    <t>Làm chuỗi tài liệu ngắn liên tiếp</t>
  </si>
  <si>
    <t>Cả phần nghe</t>
  </si>
  <si>
    <t>Toàn bài</t>
  </si>
  <si>
    <t>Lỡ một câu vẫn theo kịp câu sau</t>
  </si>
  <si>
    <t>A2-CO-T3</t>
  </si>
  <si>
    <t>A2-CE-1</t>
  </si>
  <si>
    <t>Hiểu thư, email đời sống</t>
  </si>
  <si>
    <t>Tìm mục đích người viết và yêu cầu</t>
  </si>
  <si>
    <t>Tài liệu thư</t>
  </si>
  <si>
    <t>Biết người viết muốn gì ở mình</t>
  </si>
  <si>
    <t>A2-CE-2</t>
  </si>
  <si>
    <t>Đọc quảng cáo, chỉ dẫn</t>
  </si>
  <si>
    <t>Tìm điều kiện, các bước thực hiện</t>
  </si>
  <si>
    <t>Tài liệu đời sống</t>
  </si>
  <si>
    <t>Làm theo hướng dẫn viết</t>
  </si>
  <si>
    <t>A2-CE-3</t>
  </si>
  <si>
    <t>Tra bảng, lịch trình</t>
  </si>
  <si>
    <t>So sánh các lựa chọn</t>
  </si>
  <si>
    <t>Tài liệu dạng bảng</t>
  </si>
  <si>
    <t>Chọn được phương án phù hợp</t>
  </si>
  <si>
    <t>A2-CE-4</t>
  </si>
  <si>
    <t>Hiểu bài báo ngắn</t>
  </si>
  <si>
    <t>Tìm ý chính và chi tiết</t>
  </si>
  <si>
    <t>Bài báo ngắn</t>
  </si>
  <si>
    <t>Tóm được nội dung bài báo đơn giản</t>
  </si>
  <si>
    <t>A2-CE-5</t>
  </si>
  <si>
    <t>Nhận ra cách nói khác</t>
  </si>
  <si>
    <t>Đáp án đổi từ so với văn bản</t>
  </si>
  <si>
    <t>Mọi tài liệu</t>
  </si>
  <si>
    <t>Câu có bẫy</t>
  </si>
  <si>
    <t>Không chọn nhầm đáp án chỉ vì trùng chữ</t>
  </si>
  <si>
    <t>A2-CE-T3</t>
  </si>
  <si>
    <t>A2-PE-1</t>
  </si>
  <si>
    <t>Kể một sự kiện</t>
  </si>
  <si>
    <t>Kể chuyến đi, một ngày đặc biệt</t>
  </si>
  <si>
    <t>Kể và mô tả (4)</t>
  </si>
  <si>
    <t>Kể chuyện đã qua theo trình tự</t>
  </si>
  <si>
    <t>A2-PE-2</t>
  </si>
  <si>
    <t>Nói cảm nhận</t>
  </si>
  <si>
    <t>Thêm cảm xúc và đánh giá</t>
  </si>
  <si>
    <t>Cảm nhận (3)</t>
  </si>
  <si>
    <t>Viết được mình thấy thế nào, vì sao</t>
  </si>
  <si>
    <t>A2-PE-3</t>
  </si>
  <si>
    <t>Viết thư mời, cảm ơn</t>
  </si>
  <si>
    <t>Đúng mục đích, đúng giọng thân mật</t>
  </si>
  <si>
    <t>Bám đề (2)</t>
  </si>
  <si>
    <t>Viết được thư thân mật đúng yêu cầu</t>
  </si>
  <si>
    <t>A2-PE-4</t>
  </si>
  <si>
    <t>Viết thư xin lỗi, yêu cầu</t>
  </si>
  <si>
    <t>Nêu lý do, đề nghị cách xử lý</t>
  </si>
  <si>
    <t>Xin lỗi, đề nghị lịch sự bằng văn viết</t>
  </si>
  <si>
    <t>A2-PE-5</t>
  </si>
  <si>
    <t>Chọn đúng thì</t>
  </si>
  <si>
    <t>Phân biệt passé composé và imparfait</t>
  </si>
  <si>
    <t>Thì và thức (3)</t>
  </si>
  <si>
    <t>Kể chuyện quá khứ đúng thì</t>
  </si>
  <si>
    <t>A2-PE-6</t>
  </si>
  <si>
    <t>Nối ý trong đoạn</t>
  </si>
  <si>
    <t>Dùng d'abord, ensuite, parce que</t>
  </si>
  <si>
    <t>Cả hai bài</t>
  </si>
  <si>
    <t>Mạch lạc (2)</t>
  </si>
  <si>
    <t>Bài viết có thứ tự, có lý do</t>
  </si>
  <si>
    <t>A2-PE-T3</t>
  </si>
  <si>
    <t>A2-PO-1</t>
  </si>
  <si>
    <t>Trò chuyện về bản thân</t>
  </si>
  <si>
    <t>Trả lời mở rộng, không chỉ một câu</t>
  </si>
  <si>
    <t>Entretien (4)</t>
  </si>
  <si>
    <t>Nói được thành đoạn ngắn về mình</t>
  </si>
  <si>
    <t>A2-PO-2</t>
  </si>
  <si>
    <t>Độc thoại ngắn</t>
  </si>
  <si>
    <t>Chọn đề, nói liền về đời sống</t>
  </si>
  <si>
    <t>Monologue (4)</t>
  </si>
  <si>
    <t>Nói liền một đoạn mà không học thuộc</t>
  </si>
  <si>
    <t>A2-PO-3</t>
  </si>
  <si>
    <t>Nhập vai tình huống</t>
  </si>
  <si>
    <t>Đặt lịch, mua hàng, thương lượng đơn giản</t>
  </si>
  <si>
    <t>Interaction (4)</t>
  </si>
  <si>
    <t>Xử lý được tình huống khi giám khảo đổi hướng</t>
  </si>
  <si>
    <t>A2-PO-T3</t>
  </si>
  <si>
    <t>DELF B1: kỹ năng nhỏ cần có</t>
  </si>
  <si>
    <t>Hiểu ý chính và nêu được quan điểm có lý do.</t>
  </si>
  <si>
    <t>Thi viết 1 giờ 55, nói 10–15 phút. Điều kiện đậu: Từ 50/100, mỗi kỹ năng từ 5/25.</t>
  </si>
  <si>
    <t>B1-CO-1</t>
  </si>
  <si>
    <t>Bắt ý tổng quát sau lần nghe đầu</t>
  </si>
  <si>
    <t>Xác định chủ đề, người nói, mục đích</t>
  </si>
  <si>
    <t>Câu đầu mỗi bài</t>
  </si>
  <si>
    <t>Nghe một lần đã biết tài liệu nói về gì</t>
  </si>
  <si>
    <t>B1-CO-2</t>
  </si>
  <si>
    <t>Bắt chi tiết đúng chủ thể</t>
  </si>
  <si>
    <t>Ai nói gì, số liệu nào trả lời câu hỏi</t>
  </si>
  <si>
    <t>Không nhầm người nói, không nhầm con số</t>
  </si>
  <si>
    <t>B1-CO-3</t>
  </si>
  <si>
    <t>Nhận thái độ người nói</t>
  </si>
  <si>
    <t>Đồng ý, nghi ngờ, phàn nàn</t>
  </si>
  <si>
    <t>Câu thái độ</t>
  </si>
  <si>
    <t>Nghe ra người nói đang nghĩ gì</t>
  </si>
  <si>
    <t>B1-CO-4</t>
  </si>
  <si>
    <t>Hiểu radio về nghề nghiệp</t>
  </si>
  <si>
    <t>Nghe phỏng vấn, bản tin nghề nghiệp</t>
  </si>
  <si>
    <t>Bài nghề nghiệp</t>
  </si>
  <si>
    <t>Quen từ vựng công việc</t>
  </si>
  <si>
    <t>B1-CO-5</t>
  </si>
  <si>
    <t>Hiểu radio chủ đề thông thường</t>
  </si>
  <si>
    <t>Nghe chương trình xã hội, đời sống</t>
  </si>
  <si>
    <t>Bài chủ đề chung</t>
  </si>
  <si>
    <t>Theo được chương trình radio phổ thông</t>
  </si>
  <si>
    <t>B1-CO-6</t>
  </si>
  <si>
    <t>Ghi chú khi nghe</t>
  </si>
  <si>
    <t>Ghi từ khoá ra nháp, rồi chọn đáp án</t>
  </si>
  <si>
    <t>Điền từ, Chọn đáp án</t>
  </si>
  <si>
    <t>Mọi bài dài</t>
  </si>
  <si>
    <t>Hỗ trợ cả phần</t>
  </si>
  <si>
    <t>Tận dụng đúng hai lần nghe</t>
  </si>
  <si>
    <t>B1-CO-T3</t>
  </si>
  <si>
    <t>B1-CE-1</t>
  </si>
  <si>
    <t>Tìm thông tin để giải quyết nhiệm vụ</t>
  </si>
  <si>
    <t>Đối chiếu tài liệu với bảng tick</t>
  </si>
  <si>
    <t>Bảng tick, Chọn đáp án</t>
  </si>
  <si>
    <t>Đọc lướt có mục tiêu, không đọc từng chữ</t>
  </si>
  <si>
    <t>B1-CE-2</t>
  </si>
  <si>
    <t>Nắm ý chính bài báo</t>
  </si>
  <si>
    <t>Tìm chủ đề và ý từng đoạn</t>
  </si>
  <si>
    <t>Bài 2, 3</t>
  </si>
  <si>
    <t>Tóm được bài báo phổ thông</t>
  </si>
  <si>
    <t>B1-CE-3</t>
  </si>
  <si>
    <t>Đúng/sai có trích dẫn</t>
  </si>
  <si>
    <t>Chọn và chép câu làm bằng chứng</t>
  </si>
  <si>
    <t>Đúng/Sai, Điền từ</t>
  </si>
  <si>
    <t>Bài báo</t>
  </si>
  <si>
    <t>Chỉ ra được bằng chứng trong bài</t>
  </si>
  <si>
    <t>B1-CE-4</t>
  </si>
  <si>
    <t>Suy luận, đoán từ theo ngữ cảnh</t>
  </si>
  <si>
    <t>Làm câu không có từ trùng văn bản</t>
  </si>
  <si>
    <t>Câu khó</t>
  </si>
  <si>
    <t>Không bí khi gặp từ mới</t>
  </si>
  <si>
    <t>B1-CE-5</t>
  </si>
  <si>
    <t>Theo dõi lập luận</t>
  </si>
  <si>
    <t>Hiểu vai trò của pourtant, donc, en effet</t>
  </si>
  <si>
    <t>Thấy được tác giả đang chuyển ý thế nào</t>
  </si>
  <si>
    <t>B1-CE-T3</t>
  </si>
  <si>
    <t>B1-PE-1</t>
  </si>
  <si>
    <t>Phân tích đề, lập dàn ý</t>
  </si>
  <si>
    <t>Xác định thể loại, người nhận, ba ý chính</t>
  </si>
  <si>
    <t>Trước khi viết</t>
  </si>
  <si>
    <t>Không lạc đề, có sẵn dàn bài</t>
  </si>
  <si>
    <t>B1-PE-2</t>
  </si>
  <si>
    <t>Trình bày sự việc</t>
  </si>
  <si>
    <t>Viết đoạn nêu tình huống</t>
  </si>
  <si>
    <t>Thân bài</t>
  </si>
  <si>
    <t>Sự việc (4)</t>
  </si>
  <si>
    <t>Nêu vấn đề rõ ràng</t>
  </si>
  <si>
    <t>B1-PE-3</t>
  </si>
  <si>
    <t>Nêu ý kiến có lý do, ví dụ</t>
  </si>
  <si>
    <t>Viết đoạn quan điểm</t>
  </si>
  <si>
    <t>Suy nghĩ (4)</t>
  </si>
  <si>
    <t>Ý kiến có lý do, có ví dụ</t>
  </si>
  <si>
    <t>B1-PE-4</t>
  </si>
  <si>
    <t>Liên kết các đoạn</t>
  </si>
  <si>
    <t>Nối đoạn rời thành bài</t>
  </si>
  <si>
    <t>Điền từ, Xếp thứ tự, Viết tự do + AI nhận xét</t>
  </si>
  <si>
    <t>Cả bài</t>
  </si>
  <si>
    <t>Mạch lạc (3)</t>
  </si>
  <si>
    <t>Bài có bố cục, đọc liền mạch</t>
  </si>
  <si>
    <t>B1-PE-5</t>
  </si>
  <si>
    <t>Đa dạng câu và thì</t>
  </si>
  <si>
    <t>Viết lại câu đơn thành câu phức</t>
  </si>
  <si>
    <t>Điền từ, Viết tự do + AI nhận xét</t>
  </si>
  <si>
    <t>Cấu trúc câu (2), Thì (2)</t>
  </si>
  <si>
    <t>Câu văn đa dạng hơn</t>
  </si>
  <si>
    <t>B1-PE-6</t>
  </si>
  <si>
    <t>Viết đúng thể loại</t>
  </si>
  <si>
    <t>Thư, email, bài diễn đàn, bài báo</t>
  </si>
  <si>
    <t>Viết đúng khuôn từng thể loại</t>
  </si>
  <si>
    <t>B1-PE-T3</t>
  </si>
  <si>
    <t>B1-PO-1</t>
  </si>
  <si>
    <t>Trò chuyện có hướng dẫn</t>
  </si>
  <si>
    <t>Nói về kinh nghiệm, dự định</t>
  </si>
  <si>
    <t>Nói tự nhiên về bản thân</t>
  </si>
  <si>
    <t>B1-PO-2</t>
  </si>
  <si>
    <t>Xử lý tình huống</t>
  </si>
  <si>
    <t>Giải quyết vấn đề, thuyết phục, phản đối lịch sự</t>
  </si>
  <si>
    <t>Thương lượng và phản đối lịch sự</t>
  </si>
  <si>
    <t>B1-PO-3</t>
  </si>
  <si>
    <t>Rút ý từ tài liệu ngắn</t>
  </si>
  <si>
    <t>Tìm vấn đề chính, ghi dàn ý trong 10 phút</t>
  </si>
  <si>
    <t>Quan điểm (4)</t>
  </si>
  <si>
    <t>Dùng hết 10 phút chuẩn bị hiệu quả</t>
  </si>
  <si>
    <t>B1-PO-4</t>
  </si>
  <si>
    <t>Trình bày quan điểm</t>
  </si>
  <si>
    <t>Nói có mở đầu, lý do, ví dụ, kết</t>
  </si>
  <si>
    <t>Nói 2–3 phút có cấu trúc</t>
  </si>
  <si>
    <t>B1-PO-T3</t>
  </si>
  <si>
    <t>DELF B2: kỹ năng nhỏ cần có</t>
  </si>
  <si>
    <t>Hiểu tài liệu dài, lập luận và bảo vệ quan điểm.</t>
  </si>
  <si>
    <t>Thi viết 2 giờ 30, nói 20 phút. Điều kiện đậu: Từ 50/100, mỗi kỹ năng từ 5/25.</t>
  </si>
  <si>
    <t>B2-CO-1</t>
  </si>
  <si>
    <t>Ghi chú tài liệu dài</t>
  </si>
  <si>
    <t>Nghe bài nói, phóng sự và ghi cấu trúc</t>
  </si>
  <si>
    <t>Bài 1, 2</t>
  </si>
  <si>
    <t>9 điểm mỗi bài</t>
  </si>
  <si>
    <t>Theo được tài liệu dài mà không cần hiểu từng từ</t>
  </si>
  <si>
    <t>B2-CO-2</t>
  </si>
  <si>
    <t>Hiểu sau một lần nghe</t>
  </si>
  <si>
    <t>Nghe tin ngắn, phỏng vấn ngắn</t>
  </si>
  <si>
    <t>Không mất bình tĩnh khi chỉ được nghe một lần</t>
  </si>
  <si>
    <t>B2-CO-3</t>
  </si>
  <si>
    <t>Nhận hàm ý, thái độ</t>
  </si>
  <si>
    <t>Nhận ra mỉa mai, dè dặt, phê phán</t>
  </si>
  <si>
    <t>Nghe ra điều người nói không nói thẳng</t>
  </si>
  <si>
    <t>B2-CO-4</t>
  </si>
  <si>
    <t>Tìm luận điểm, phản đề, ví dụ</t>
  </si>
  <si>
    <t>Hiểu cách người nói xây lập luận</t>
  </si>
  <si>
    <t>B2-CO-5</t>
  </si>
  <si>
    <t>Hiểu từ theo ngữ cảnh</t>
  </si>
  <si>
    <t>Thành ngữ và từ trừu tượng</t>
  </si>
  <si>
    <t>Đoán nghĩa từ khó ngay khi nghe</t>
  </si>
  <si>
    <t>B2-CO-T3</t>
  </si>
  <si>
    <t>B2-CE-1</t>
  </si>
  <si>
    <t>Đọc cấu trúc bài nghị luận</t>
  </si>
  <si>
    <t>Tìm luận điểm, phản đề, kết luận</t>
  </si>
  <si>
    <t>Đọc theo lập luận thay vì đọc chữ</t>
  </si>
  <si>
    <t>B2-CE-2</t>
  </si>
  <si>
    <t>Suy luận ý ngầm</t>
  </si>
  <si>
    <t>Đáp án không trùng từ văn bản</t>
  </si>
  <si>
    <t>Hiểu ý tác giả không viết thẳng</t>
  </si>
  <si>
    <t>B2-CE-3</t>
  </si>
  <si>
    <t>Ghép ý kiến trên diễn đàn</t>
  </si>
  <si>
    <t>So sánh nhiều quan điểm</t>
  </si>
  <si>
    <t>Ghép cặp, Chọn đáp án</t>
  </si>
  <si>
    <t>Phân biệt ai nghĩ gì trong nhiều ý kiến</t>
  </si>
  <si>
    <t>B2-CE-4</t>
  </si>
  <si>
    <t>Phân biệt sắc thái</t>
  </si>
  <si>
    <t>Chắc chắn, giả định, nhượng bộ</t>
  </si>
  <si>
    <t>Cả phần đọc</t>
  </si>
  <si>
    <t>Không hiểu nhầm mức độ khẳng định</t>
  </si>
  <si>
    <t>B2-CE-5</t>
  </si>
  <si>
    <t>Phân bổ 60 phút</t>
  </si>
  <si>
    <t>Làm liên tiếp ba văn bản có đồng hồ</t>
  </si>
  <si>
    <t>Không hết giờ ở bài cuối</t>
  </si>
  <si>
    <t>B2-CE-T3</t>
  </si>
  <si>
    <t>B2-PE-1</t>
  </si>
  <si>
    <t>Phân tích đề, chọn thể loại</t>
  </si>
  <si>
    <t>Đóng góp tranh luận, thư trang trọng, bài phê bình, báo cáo</t>
  </si>
  <si>
    <t>Hiểu đúng đề và đúng khuôn thể loại</t>
  </si>
  <si>
    <t>B2-PE-2</t>
  </si>
  <si>
    <t>Chọn đúng giọng văn</t>
  </si>
  <si>
    <t>Viết lại câu theo mức trang trọng</t>
  </si>
  <si>
    <t>Giọng văn (2)</t>
  </si>
  <si>
    <t>Giữ giọng trang trọng suốt bài</t>
  </si>
  <si>
    <t>B2-PE-3</t>
  </si>
  <si>
    <t>Lập luận có ví dụ</t>
  </si>
  <si>
    <t>Viết luận điểm, phản biện, nhượng bộ</t>
  </si>
  <si>
    <t>Lập luận (4), Sự việc (3)</t>
  </si>
  <si>
    <t>Có luận điểm rõ và phản bác được ý ngược</t>
  </si>
  <si>
    <t>B2-PE-4</t>
  </si>
  <si>
    <t>Liên kết văn bản</t>
  </si>
  <si>
    <t>Chuyển đoạn, dùng liên từ nghị luận</t>
  </si>
  <si>
    <t>Bài chặt chẽ từ mở đến kết</t>
  </si>
  <si>
    <t>B2-PE-5</t>
  </si>
  <si>
    <t>Dùng cấu trúc phức</t>
  </si>
  <si>
    <t>Subjonctif, nhượng bộ, câu danh hoá</t>
  </si>
  <si>
    <t>Nhóm ngôn ngữ</t>
  </si>
  <si>
    <t>Câu văn đúng tầm B2</t>
  </si>
  <si>
    <t>B2-PE-T3</t>
  </si>
  <si>
    <t>B2-PO-1</t>
  </si>
  <si>
    <t>Rút vấn đề từ tài liệu gợi ý</t>
  </si>
  <si>
    <t>Đọc tài liệu, nêu vấn đề</t>
  </si>
  <si>
    <t>Chuẩn bị</t>
  </si>
  <si>
    <t>Monologue (5)</t>
  </si>
  <si>
    <t>Tìm đúng vấn đề cần bàn</t>
  </si>
  <si>
    <t>B2-PO-2</t>
  </si>
  <si>
    <t>Lập dàn ý trong 30 phút</t>
  </si>
  <si>
    <t>Dàn ý hai hoặc ba phần có ví dụ</t>
  </si>
  <si>
    <t>Chuẩn bị xong bài nói trong 30 phút</t>
  </si>
  <si>
    <t>B2-PO-3</t>
  </si>
  <si>
    <t>Trình bày có lập luận</t>
  </si>
  <si>
    <t>Nói liền, bố cục rõ</t>
  </si>
  <si>
    <t>Độc thoại</t>
  </si>
  <si>
    <t>Nói liền mạch có mở, thân, kết</t>
  </si>
  <si>
    <t>B2-PO-4</t>
  </si>
  <si>
    <t>Tranh luận</t>
  </si>
  <si>
    <t>Phản hồi phản biện, bảo vệ và nhấn sắc thái</t>
  </si>
  <si>
    <t>Interaction (5)</t>
  </si>
  <si>
    <t>Giữ quan điểm khi bị phản biện</t>
  </si>
  <si>
    <t>B2-PO-T3</t>
  </si>
  <si>
    <t>DALF C1: kỹ năng nhỏ cần có</t>
  </si>
  <si>
    <t>Hiểu tài liệu học thuật dài, tổng hợp nhiều nguồn và lập luận có sắc thái.</t>
  </si>
  <si>
    <t>Thi viết 4 giờ, nói 30 phút. Điều kiện đậu: Từ 50/100, mỗi kỹ năng từ 5/25.</t>
  </si>
  <si>
    <t>C1-CO-1</t>
  </si>
  <si>
    <t>Nghe hội thảo, phỏng vấn dài và ghi cấu trúc</t>
  </si>
  <si>
    <t>Tài liệu dài</t>
  </si>
  <si>
    <t>Giữ mạch một bài nói 8 phút</t>
  </si>
  <si>
    <t>C1-CO-2</t>
  </si>
  <si>
    <t>Hiểu tài liệu ngắn sau một lần nghe</t>
  </si>
  <si>
    <t>Nghe tin, quảng cáo, phát biểu ngắn</t>
  </si>
  <si>
    <t>Tài liệu ngắn</t>
  </si>
  <si>
    <t>Bắt ý ngay ở lần nghe duy nhất</t>
  </si>
  <si>
    <t>C1-CO-3</t>
  </si>
  <si>
    <t>Nhận lập trường và giọng điệu</t>
  </si>
  <si>
    <t>Tìm hàm ý, mỉa mai, mức đồng tình</t>
  </si>
  <si>
    <t>Nghe được thái độ ẩn sau lời nói</t>
  </si>
  <si>
    <t>C1-CO-4</t>
  </si>
  <si>
    <t>Hiểu lập luận chuyên sâu</t>
  </si>
  <si>
    <t>Nghe tranh luận, trình bày học thuật</t>
  </si>
  <si>
    <t>Theo được ý trừu tượng</t>
  </si>
  <si>
    <t>C1-CO-5</t>
  </si>
  <si>
    <t>Trả lời bằng lời của mình</t>
  </si>
  <si>
    <t>Diễn đạt lại ngắn gọn ý vừa nghe</t>
  </si>
  <si>
    <t>Không chép nguyên văn khi trả lời</t>
  </si>
  <si>
    <t>C1-CO-T3</t>
  </si>
  <si>
    <t>C1-CE-1</t>
  </si>
  <si>
    <t>Đọc văn bản dài có chiều sâu</t>
  </si>
  <si>
    <t>Tìm cấu trúc, luận điểm từng phần</t>
  </si>
  <si>
    <t>Nắm được bài dài trong thời gian ngắn</t>
  </si>
  <si>
    <t>C1-CE-2</t>
  </si>
  <si>
    <t>Nhận dụng ý và ẩn ý</t>
  </si>
  <si>
    <t>Tìm ý tác giả không nói thẳng</t>
  </si>
  <si>
    <t>Hiểu lập trường của tác giả</t>
  </si>
  <si>
    <t>C1-CE-3</t>
  </si>
  <si>
    <t>Diễn đạt lại bằng lời của mình</t>
  </si>
  <si>
    <t>Viết lại ý chính, không chép câu</t>
  </si>
  <si>
    <t>Trả lời đúng ý, không chép</t>
  </si>
  <si>
    <t>C1-CE-4</t>
  </si>
  <si>
    <t>Từ học thuật trong ngữ cảnh</t>
  </si>
  <si>
    <t>Giải nghĩa từ khó theo văn cảnh</t>
  </si>
  <si>
    <t>Đọc được từ vựng học thuật</t>
  </si>
  <si>
    <t>C1-CE-5</t>
  </si>
  <si>
    <t>Phân bổ 50 phút</t>
  </si>
  <si>
    <t>Làm trọn một văn bản dài có đồng hồ</t>
  </si>
  <si>
    <t>Không hết giờ khi đọc bài dài</t>
  </si>
  <si>
    <t>C1-CE-T3</t>
  </si>
  <si>
    <t>C1-PE-1</t>
  </si>
  <si>
    <t>Đọc nhiều tài liệu, tìm ý chung</t>
  </si>
  <si>
    <t>Lập bảng so sánh ý của các nguồn</t>
  </si>
  <si>
    <t>Tổng hợp</t>
  </si>
  <si>
    <t>Tìm được trục chung của nhiều tài liệu</t>
  </si>
  <si>
    <t>C1-PE-2</t>
  </si>
  <si>
    <t>Viết tổng hợp đúng luật</t>
  </si>
  <si>
    <t>Không chép câu, không thêm ý riêng</t>
  </si>
  <si>
    <t>Mạch lạc (4)</t>
  </si>
  <si>
    <t>Viết bài tổng hợp khách quan</t>
  </si>
  <si>
    <t>C1-PE-3</t>
  </si>
  <si>
    <t>Giữ đúng độ dài</t>
  </si>
  <si>
    <t>Rút gọn văn bản theo số từ quy định</t>
  </si>
  <si>
    <t>Không vượt hoặc thiếu số từ</t>
  </si>
  <si>
    <t>C1-PE-4</t>
  </si>
  <si>
    <t>Lập dàn ý bài luận</t>
  </si>
  <si>
    <t>Nêu vấn đề, chọn dàn ý</t>
  </si>
  <si>
    <t>Bài luận</t>
  </si>
  <si>
    <t>Có dàn ý rõ trước khi viết</t>
  </si>
  <si>
    <t>C1-PE-5</t>
  </si>
  <si>
    <t>Lập luận có sắc thái</t>
  </si>
  <si>
    <t>Luận điểm, phản bác, ví dụ</t>
  </si>
  <si>
    <t>Lập luận (5)</t>
  </si>
  <si>
    <t>Lập luận thuyết phục</t>
  </si>
  <si>
    <t>C1-PE-6</t>
  </si>
  <si>
    <t>Giọng văn và câu phức</t>
  </si>
  <si>
    <t>Viết lại theo giọng trang trọng</t>
  </si>
  <si>
    <t>Giọng văn (2), Cấu trúc câu (3)</t>
  </si>
  <si>
    <t>Văn phong đạt tầm C1</t>
  </si>
  <si>
    <t>C1-PE-T3</t>
  </si>
  <si>
    <t>C1-PO-1</t>
  </si>
  <si>
    <t>Rút vấn đề từ nhiều tài liệu</t>
  </si>
  <si>
    <t>Đọc tài liệu, nêu vấn đề chung</t>
  </si>
  <si>
    <t>Exposé (5)</t>
  </si>
  <si>
    <t>Tìm đúng vấn đề của cả bộ tài liệu</t>
  </si>
  <si>
    <t>C1-PO-2</t>
  </si>
  <si>
    <t>Lập dàn ý trong 1 giờ</t>
  </si>
  <si>
    <t>Dàn ý có phân tích và ví dụ</t>
  </si>
  <si>
    <t>Dùng 1 giờ chuẩn bị hiệu quả</t>
  </si>
  <si>
    <t>C1-PO-3</t>
  </si>
  <si>
    <t>Trình bày bài nói dài</t>
  </si>
  <si>
    <t>Nói liền, có dàn ý và ý kiến riêng</t>
  </si>
  <si>
    <t>Exposé</t>
  </si>
  <si>
    <t>Trình bày thuyết phục, không đọc giấy</t>
  </si>
  <si>
    <t>C1-PO-4</t>
  </si>
  <si>
    <t>Trao đổi với hội đồng</t>
  </si>
  <si>
    <t>Trả lời, bảo vệ và nhấn sắc thái</t>
  </si>
  <si>
    <t>Entretien</t>
  </si>
  <si>
    <t>Trả lời vững trước câu hỏi khó</t>
  </si>
  <si>
    <t>C1-PO-T3</t>
  </si>
  <si>
    <t>DALF C2: kỹ năng nhỏ cần có</t>
  </si>
  <si>
    <t>Dùng tiếng Pháp gần như người bản xứ có học vấn: tổng hợp, phê phán, tranh luận.</t>
  </si>
  <si>
    <t>Viết 3 giờ 30, nói 30 phút (1 giờ chuẩn bị). Điều kiện đậu: Từ 50/100, mỗi phần từ 10/50.</t>
  </si>
  <si>
    <t>C2-CO-1</t>
  </si>
  <si>
    <t>Ghi chú tài liệu rất dài</t>
  </si>
  <si>
    <t>Nghe khoảng 15 phút, ghi đủ cấu trúc</t>
  </si>
  <si>
    <t>Trước khi nói</t>
  </si>
  <si>
    <t>Hỗ trợ phần nói</t>
  </si>
  <si>
    <t>Giữ được toàn bộ nội dung để trình bày lại</t>
  </si>
  <si>
    <t>C2-CO-2</t>
  </si>
  <si>
    <t>Hiểu nhiều giọng, tốc độ tự nhiên</t>
  </si>
  <si>
    <t>Nghe phát thanh, tranh luận thật</t>
  </si>
  <si>
    <t>Không bị khó vì giọng hay tốc độ</t>
  </si>
  <si>
    <t>C2-CO-3</t>
  </si>
  <si>
    <t>Nắm lập luận và sắc thái</t>
  </si>
  <si>
    <t>Tìm luận điểm, giọng điệu, chủ ý</t>
  </si>
  <si>
    <t>Hiểu cả điều người nói ngụ ý</t>
  </si>
  <si>
    <t>C2-CO-4</t>
  </si>
  <si>
    <t>Phân biệt ý chính và ý phụ</t>
  </si>
  <si>
    <t>Chọn ý đưa vào bài tóm tắt</t>
  </si>
  <si>
    <t>Tóm tắt đúng trọng tâm</t>
  </si>
  <si>
    <t>C2-CO-T3</t>
  </si>
  <si>
    <t>C2-CE-1</t>
  </si>
  <si>
    <t>Đọc nhanh hồ sơ dài</t>
  </si>
  <si>
    <t>Xử lý bộ tài liệu khoảng 2.000 từ</t>
  </si>
  <si>
    <t>Hỗ trợ phần viết</t>
  </si>
  <si>
    <t>Nắm nhanh một hồ sơ dài</t>
  </si>
  <si>
    <t>C2-CE-2</t>
  </si>
  <si>
    <t>So sánh quan điểm các nguồn</t>
  </si>
  <si>
    <t>Tìm đồng thuận, mâu thuẫn</t>
  </si>
  <si>
    <t>Thấy được các nguồn khác nhau ở đâu</t>
  </si>
  <si>
    <t>C2-CE-3</t>
  </si>
  <si>
    <t>Chọn thông tin theo nhiệm vụ</t>
  </si>
  <si>
    <t>Lọc ý phù hợp mục đích bài viết</t>
  </si>
  <si>
    <t>Chỉ giữ thông tin cần cho bài</t>
  </si>
  <si>
    <t>C2-CE-T3</t>
  </si>
  <si>
    <t>C2-PE-1</t>
  </si>
  <si>
    <t>Xác định thể loại và vai người viết</t>
  </si>
  <si>
    <t>Xã luận, báo cáo, diễn văn, thư ngỏ</t>
  </si>
  <si>
    <t>Phân tích đề</t>
  </si>
  <si>
    <t>Chưa có thang chấm C2 trong app</t>
  </si>
  <si>
    <t>Viết đúng vai, đúng người đọc</t>
  </si>
  <si>
    <t>C2-PE-2</t>
  </si>
  <si>
    <t>Viết bài lớn dựa trên hồ sơ</t>
  </si>
  <si>
    <t>Dùng tài liệu làm bằng chứng</t>
  </si>
  <si>
    <t>Bài viết</t>
  </si>
  <si>
    <t>Viết bài dài có cấu trúc chặt</t>
  </si>
  <si>
    <t>C2-PE-3</t>
  </si>
  <si>
    <t>Lập luận và văn phong cao</t>
  </si>
  <si>
    <t>Viết sắc bén, giàu sắc thái</t>
  </si>
  <si>
    <t>Văn phong tự nhiên, chính xác</t>
  </si>
  <si>
    <t>C2-PE-T3</t>
  </si>
  <si>
    <t>C2-PO-1</t>
  </si>
  <si>
    <t>Trình bày lại tài liệu đã nghe</t>
  </si>
  <si>
    <t>Nói lại trung thành, có cấu trúc</t>
  </si>
  <si>
    <t>Tóm tắt rõ, không thêm ý sai</t>
  </si>
  <si>
    <t>C2-PO-2</t>
  </si>
  <si>
    <t>Phát triển quan điểm cá nhân</t>
  </si>
  <si>
    <t>Bài nói lập luận về vấn đề nêu ra</t>
  </si>
  <si>
    <t>Lập luận sâu, có dẫn chứng</t>
  </si>
  <si>
    <t>C2-PO-3</t>
  </si>
  <si>
    <t>Tranh luận với hội đồng</t>
  </si>
  <si>
    <t>Bảo vệ, nhượng bộ, phản bác tinh tế</t>
  </si>
  <si>
    <t>Tranh luận tự nhiên ở mức cao</t>
  </si>
  <si>
    <t>C2-PO-T3</t>
  </si>
  <si>
    <t>Tổng quan kỹ năng thi DELF và DALF</t>
  </si>
  <si>
    <t>6 trình độ × 4 kỹ năng. Các cột số tự cộng từ tab từng trình độ.</t>
  </si>
  <si>
    <t>Trình độ</t>
  </si>
  <si>
    <t>Bằng</t>
  </si>
  <si>
    <t>Thời gian thi</t>
  </si>
  <si>
    <t>Điều kiện đậu</t>
  </si>
  <si>
    <t>A1</t>
  </si>
  <si>
    <t>DELF</t>
  </si>
  <si>
    <t>Thi viết 1 giờ 20, nói 5–7 phút</t>
  </si>
  <si>
    <t>Từ 50/100, mỗi kỹ năng từ 5/25</t>
  </si>
  <si>
    <t>A2</t>
  </si>
  <si>
    <t>Thi viết 1 giờ 40, nói 6–8 phút</t>
  </si>
  <si>
    <t>B1</t>
  </si>
  <si>
    <t>Thi viết 1 giờ 55, nói 10–15 phút</t>
  </si>
  <si>
    <t>B2</t>
  </si>
  <si>
    <t>Thi viết 2 giờ 30, nói 20 phút</t>
  </si>
  <si>
    <t>C1</t>
  </si>
  <si>
    <t>DALF</t>
  </si>
  <si>
    <t>Thi viết 4 giờ, nói 30 phút</t>
  </si>
  <si>
    <t>C2</t>
  </si>
  <si>
    <t>Viết 3 giờ 30, nói 30 phút (1 giờ chuẩn bị)</t>
  </si>
  <si>
    <t>Từ 50/100, mỗi phần từ 10/50</t>
  </si>
  <si>
    <t>Thời gian, điểm</t>
  </si>
  <si>
    <t>Đề thi gồm gì</t>
  </si>
  <si>
    <t>Số kỹ năng nhỏ</t>
  </si>
  <si>
    <t>Bài cần có</t>
  </si>
  <si>
    <t>Bài đang có</t>
  </si>
  <si>
    <t>Cần soạn thêm</t>
  </si>
  <si>
    <t>Tình hình</t>
  </si>
  <si>
    <t>20 phút, 25 điểm</t>
  </si>
  <si>
    <t>5 bài (4+4+4+8+5 điểm), mỗi bài nghe 2 lần, tổng audio tối đa 3 phút</t>
  </si>
  <si>
    <t>30 phút, 25 điểm</t>
  </si>
  <si>
    <t>4 bài (6+6+6+7 điểm): tin nhắn, chỉ dẫn đường, lịch, quảng cáo</t>
  </si>
  <si>
    <t>Phiếu 10 ô (10 điểm) + thư từ 40 từ (15 điểm)</t>
  </si>
  <si>
    <t>5–7 phút, 25 điểm, 10 phút chuẩn bị</t>
  </si>
  <si>
    <t>3 phần: trả lời về bản thân, hỏi từ thẻ gợi ý, nhập vai mua bán</t>
  </si>
  <si>
    <t>25 phút, 25 điểm</t>
  </si>
  <si>
    <t>Khoảng 14 tài liệu ngắn, khoảng 20 câu chọn đáp án</t>
  </si>
  <si>
    <t>Tài liệu đời sống, khoảng 15–20 câu</t>
  </si>
  <si>
    <t>45 phút, 25 điểm</t>
  </si>
  <si>
    <t>2 bài, mỗi bài từ 60 từ: kể trải nghiệm + viết thư</t>
  </si>
  <si>
    <t>6–8 phút, 25 điểm, 10 phút chuẩn bị</t>
  </si>
  <si>
    <t>3 phần: trò chuyện, độc thoại, nhập vai</t>
  </si>
  <si>
    <t>Hội thoại và radio, mỗi bài 5–8 câu, câu đầu thường hỏi ý tổng quát</t>
  </si>
  <si>
    <t>2–3 bài: tìm thông tin + bảng tick, bài báo</t>
  </si>
  <si>
    <t>1 bài từ 160 từ, bày tỏ quan điểm</t>
  </si>
  <si>
    <t>10–15 phút, 25 điểm, 10 phút chuẩn bị phần 3</t>
  </si>
  <si>
    <t>3 phần: trò chuyện, xử lý tình huống, trình bày quan điểm từ tài liệu</t>
  </si>
  <si>
    <t>3 bài (9+9+7 điểm): 2 tài liệu dài nghe 2 lần, 3 tài liệu ngắn nghe 1 lần</t>
  </si>
  <si>
    <t>60 phút, 25 điểm</t>
  </si>
  <si>
    <t>3 bài (9+9+7 điểm), câu A/B/C, bài 3 ghép ý kiến diễn đàn</t>
  </si>
  <si>
    <t>1 bài từ 250 từ, nghị luận</t>
  </si>
  <si>
    <t>20 phút, 25 điểm, 30 phút chuẩn bị</t>
  </si>
  <si>
    <t>Độc thoại bảo vệ quan điểm từ tài liệu gợi ý + tranh luận với giám khảo</t>
  </si>
  <si>
    <t>40 phút, 25 điểm</t>
  </si>
  <si>
    <t>1 tài liệu dài khoảng 8 phút + các tài liệu ngắn nghe 1 lần</t>
  </si>
  <si>
    <t>50 phút, 25 điểm</t>
  </si>
  <si>
    <t>1 văn bản nghị luận hoặc văn học dài, câu hỏi hiểu sâu</t>
  </si>
  <si>
    <t>2 giờ 30, 25 điểm</t>
  </si>
  <si>
    <t>Tổng hợp nhiều tài liệu + bài luận (app đang dùng thang rút gọn cho bài luận)</t>
  </si>
  <si>
    <t>30 phút, 25 điểm, 1 giờ chuẩn bị</t>
  </si>
  <si>
    <t>Trình bày từ nhiều tài liệu + trao đổi với hội đồng</t>
  </si>
  <si>
    <t>Chung phần Nghe + Nói: 30 phút, 50 điểm</t>
  </si>
  <si>
    <t>Nghe tài liệu dài 2 lần rồi trình bày lại (cùng bài với Nói)</t>
  </si>
  <si>
    <t>Chung phần Đọc + Viết: 3 giờ 30, 50 điểm</t>
  </si>
  <si>
    <t>Đọc một bộ tài liệu dài rồi viết bài có cấu trúc (cùng bài với Viết)</t>
  </si>
  <si>
    <t>Viết bài có cấu trúc: xã luận, báo cáo, diễn văn, bài báo</t>
  </si>
  <si>
    <t>Chung phần Nghe + Nói: 30 phút, 50 điểm, 1 giờ chuẩn bị</t>
  </si>
  <si>
    <t>Tóm tắt tài liệu nghe, phát triển quan điểm, tranh luận với hội đồng</t>
  </si>
</sst>
</file>

<file path=xl/styles.xml><?xml version="1.0" encoding="utf-8"?>
<styleSheet xmlns="http://schemas.openxmlformats.org/spreadsheetml/2006/main">
  <fonts count="14">
    <font>
      <sz val="11"/>
      <color theme="1"/>
      <name val="Calibri"/>
      <family val="2"/>
      <scheme val="minor"/>
    </font>
    <font>
      <b/>
      <sz val="16"/>
      <color rgb="FF1E3A8A"/>
      <name val="Arial"/>
      <family val="2"/>
    </font>
    <font>
      <sz val="10"/>
      <color rgb="FF475569"/>
      <name val="Arial"/>
      <family val="2"/>
    </font>
    <font>
      <b/>
      <sz val="10"/>
      <color theme="1"/>
      <name val="Arial"/>
      <family val="2"/>
    </font>
    <font>
      <sz val="10"/>
      <color theme="1"/>
      <name val="Arial"/>
      <family val="2"/>
    </font>
    <font>
      <b/>
      <sz val="10"/>
      <color rgb="FFFFFFFF"/>
      <name val="Arial"/>
      <family val="2"/>
    </font>
    <font>
      <b/>
      <sz val="10"/>
      <color rgb="FF1D4ED8"/>
      <name val="Arial"/>
      <family val="2"/>
    </font>
    <font>
      <sz val="10"/>
      <color rgb="FF0000FF"/>
      <name val="Arial"/>
      <family val="2"/>
    </font>
    <font>
      <b/>
      <sz val="10"/>
      <color rgb="FF047857"/>
      <name val="Arial"/>
      <family val="2"/>
    </font>
    <font>
      <b/>
      <sz val="10"/>
      <color rgb="FFBE185D"/>
      <name val="Arial"/>
      <family val="2"/>
    </font>
    <font>
      <b/>
      <sz val="10"/>
      <color rgb="FF6D28D9"/>
      <name val="Arial"/>
      <family val="2"/>
    </font>
    <font>
      <sz val="10"/>
      <color rgb="FF047857"/>
      <name val="Arial"/>
      <family val="2"/>
    </font>
    <font>
      <sz val="10"/>
      <color rgb="FFB45309"/>
      <name val="Arial"/>
      <family val="2"/>
    </font>
    <font>
      <i/>
      <sz val="10"/>
      <color theme="1"/>
      <name val="Arial"/>
      <family val="2"/>
    </font>
  </fonts>
  <fills count="11">
    <fill>
      <patternFill patternType="none"/>
    </fill>
    <fill>
      <patternFill patternType="gray125"/>
    </fill>
    <fill>
      <patternFill patternType="solid">
        <fgColor rgb="FF1E3A8A"/>
        <bgColor indexed="64"/>
      </patternFill>
    </fill>
    <fill>
      <patternFill patternType="solid">
        <fgColor rgb="FFDCEBFF"/>
        <bgColor indexed="64"/>
      </patternFill>
    </fill>
    <fill>
      <patternFill patternType="solid">
        <fgColor rgb="FFDDF5E6"/>
        <bgColor indexed="64"/>
      </patternFill>
    </fill>
    <fill>
      <patternFill patternType="solid">
        <fgColor rgb="FFFFE3EC"/>
        <bgColor indexed="64"/>
      </patternFill>
    </fill>
    <fill>
      <patternFill patternType="solid">
        <fgColor rgb="FFECE4FF"/>
        <bgColor indexed="64"/>
      </patternFill>
    </fill>
    <fill>
      <patternFill patternType="solid">
        <fgColor rgb="FFE2E8F0"/>
        <bgColor indexed="64"/>
      </patternFill>
    </fill>
    <fill>
      <patternFill patternType="solid">
        <fgColor rgb="FFECFDF5"/>
        <bgColor indexed="64"/>
      </patternFill>
    </fill>
    <fill>
      <patternFill patternType="solid">
        <fgColor rgb="FFFFFBEB"/>
        <bgColor indexed="64"/>
      </patternFill>
    </fill>
    <fill>
      <patternFill patternType="solid">
        <fgColor rgb="FFF8FAFC"/>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center" wrapText="1"/>
    </xf>
    <xf numFmtId="0" fontId="6" fillId="3" borderId="1" xfId="0" applyFont="1" applyFill="1" applyBorder="1" applyAlignment="1">
      <alignment vertical="top" wrapText="1"/>
    </xf>
    <xf numFmtId="1" fontId="4" fillId="0" borderId="1" xfId="0" applyNumberFormat="1" applyFont="1" applyBorder="1" applyAlignment="1">
      <alignment horizontal="center" vertical="top" wrapText="1"/>
    </xf>
    <xf numFmtId="1" fontId="7" fillId="0" borderId="1" xfId="0" applyNumberFormat="1" applyFont="1" applyBorder="1" applyAlignment="1">
      <alignment horizontal="center" vertical="top" wrapText="1"/>
    </xf>
    <xf numFmtId="0" fontId="8" fillId="4" borderId="1" xfId="0" applyFont="1" applyFill="1" applyBorder="1" applyAlignment="1">
      <alignment vertical="top" wrapText="1"/>
    </xf>
    <xf numFmtId="0" fontId="9" fillId="5" borderId="1" xfId="0" applyFont="1" applyFill="1" applyBorder="1" applyAlignment="1">
      <alignment vertical="top" wrapText="1"/>
    </xf>
    <xf numFmtId="0" fontId="10" fillId="6" borderId="1" xfId="0" applyFont="1" applyFill="1" applyBorder="1" applyAlignment="1">
      <alignment vertical="top" wrapText="1"/>
    </xf>
    <xf numFmtId="0" fontId="3" fillId="7" borderId="1" xfId="0" applyFont="1" applyFill="1" applyBorder="1" applyAlignment="1">
      <alignment vertical="top" wrapText="1"/>
    </xf>
    <xf numFmtId="1" fontId="3" fillId="7" borderId="1" xfId="0" applyNumberFormat="1" applyFont="1" applyFill="1" applyBorder="1" applyAlignment="1">
      <alignment horizontal="center" vertical="top" wrapText="1"/>
    </xf>
    <xf numFmtId="0" fontId="11" fillId="8" borderId="1" xfId="0" applyFont="1" applyFill="1" applyBorder="1" applyAlignment="1">
      <alignment vertical="top" wrapText="1"/>
    </xf>
    <xf numFmtId="0" fontId="12" fillId="9" borderId="1" xfId="0" applyFont="1" applyFill="1" applyBorder="1" applyAlignment="1">
      <alignment vertical="top" wrapText="1"/>
    </xf>
    <xf numFmtId="0" fontId="13" fillId="10" borderId="1" xfId="0" applyFont="1" applyFill="1" applyBorder="1" applyAlignment="1">
      <alignment vertical="top" wrapText="1"/>
    </xf>
    <xf numFmtId="1" fontId="13" fillId="10" borderId="1" xfId="0" applyNumberFormat="1" applyFont="1" applyFill="1" applyBorder="1" applyAlignment="1">
      <alignment horizontal="center" vertical="top" wrapText="1"/>
    </xf>
  </cellXfs>
  <cellStyles count="1">
    <cellStyle name="Normal" xfId="0" builtinId="0"/>
  </cellStyles>
  <dxfs count="2">
    <dxf>
      <font>
        <color rgb="FFB91C1C"/>
      </font>
      <fill>
        <patternFill>
          <bgColor rgb="FFFEE2E2"/>
        </patternFill>
      </fill>
    </dxf>
    <dxf>
      <font>
        <color rgb="FF047857"/>
      </font>
      <fill>
        <patternFill>
          <bgColor rgb="FFECFDF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1:C31"/>
  <sheetViews>
    <sheetView showGridLines="0" workbookViewId="0"/>
  </sheetViews>
  <sheetFormatPr defaultRowHeight="15"/>
  <cols>
    <col min="1" max="1" width="3.7109375" customWidth="1"/>
    <col min="2" max="2" width="28.7109375" customWidth="1"/>
    <col min="3" max="3" width="82.7109375" customWidth="1"/>
  </cols>
  <sheetData>
    <row r="1" spans="2:3">
      <c r="B1" s="1" t="s">
        <v>0</v>
      </c>
    </row>
    <row r="2" spans="2:3">
      <c r="B2" s="2" t="s">
        <v>1</v>
      </c>
    </row>
    <row r="4" spans="2:3">
      <c r="B4" s="3" t="s">
        <v>2</v>
      </c>
    </row>
    <row r="5" spans="2:3" ht="20.25" customHeight="1">
      <c r="B5" s="4" t="s">
        <v>3</v>
      </c>
      <c r="C5" s="4" t="s">
        <v>4</v>
      </c>
    </row>
    <row r="6" spans="2:3" ht="20.25" customHeight="1">
      <c r="B6" s="4" t="s">
        <v>5</v>
      </c>
      <c r="C6" s="4" t="s">
        <v>6</v>
      </c>
    </row>
    <row r="7" spans="2:3" ht="20.25" customHeight="1">
      <c r="B7" s="4" t="s">
        <v>7</v>
      </c>
      <c r="C7" s="4" t="s">
        <v>8</v>
      </c>
    </row>
    <row r="9" spans="2:3">
      <c r="B9" s="3" t="s">
        <v>9</v>
      </c>
    </row>
    <row r="10" spans="2:3" ht="20.25" customHeight="1">
      <c r="B10" s="4" t="s">
        <v>10</v>
      </c>
      <c r="C10" s="4" t="s">
        <v>11</v>
      </c>
    </row>
    <row r="11" spans="2:3" ht="32.25" customHeight="1">
      <c r="B11" s="4" t="s">
        <v>12</v>
      </c>
      <c r="C11" s="4" t="s">
        <v>13</v>
      </c>
    </row>
    <row r="12" spans="2:3" ht="20.25" customHeight="1">
      <c r="B12" s="4" t="s">
        <v>14</v>
      </c>
      <c r="C12" s="4" t="s">
        <v>15</v>
      </c>
    </row>
    <row r="13" spans="2:3" ht="20.25" customHeight="1">
      <c r="B13" s="4" t="s">
        <v>16</v>
      </c>
      <c r="C13" s="4" t="s">
        <v>17</v>
      </c>
    </row>
    <row r="14" spans="2:3" ht="20.25" customHeight="1">
      <c r="B14" s="4" t="s">
        <v>18</v>
      </c>
      <c r="C14" s="4" t="s">
        <v>19</v>
      </c>
    </row>
    <row r="15" spans="2:3" ht="20.25" customHeight="1">
      <c r="B15" s="4" t="s">
        <v>20</v>
      </c>
      <c r="C15" s="4" t="s">
        <v>21</v>
      </c>
    </row>
    <row r="16" spans="2:3" ht="20.25" customHeight="1">
      <c r="B16" s="4" t="s">
        <v>22</v>
      </c>
      <c r="C16" s="4" t="s">
        <v>23</v>
      </c>
    </row>
    <row r="17" spans="2:3" ht="20.25" customHeight="1">
      <c r="B17" s="4" t="s">
        <v>24</v>
      </c>
      <c r="C17" s="4" t="s">
        <v>25</v>
      </c>
    </row>
    <row r="18" spans="2:3" ht="20.25" customHeight="1">
      <c r="B18" s="4" t="s">
        <v>26</v>
      </c>
      <c r="C18" s="4" t="s">
        <v>27</v>
      </c>
    </row>
    <row r="19" spans="2:3" ht="20.25" customHeight="1">
      <c r="B19" s="4" t="s">
        <v>28</v>
      </c>
      <c r="C19" s="4" t="s">
        <v>29</v>
      </c>
    </row>
    <row r="21" spans="2:3">
      <c r="B21" s="3" t="s">
        <v>30</v>
      </c>
    </row>
    <row r="22" spans="2:3" ht="48" customHeight="1">
      <c r="B22" s="4" t="s">
        <v>31</v>
      </c>
      <c r="C22" s="4"/>
    </row>
    <row r="24" spans="2:3">
      <c r="B24" s="3" t="s">
        <v>32</v>
      </c>
    </row>
    <row r="25" spans="2:3" ht="20.25" customHeight="1">
      <c r="B25" s="4" t="s">
        <v>33</v>
      </c>
      <c r="C25" s="4" t="s">
        <v>34</v>
      </c>
    </row>
    <row r="26" spans="2:3" ht="20.25" customHeight="1">
      <c r="B26" s="4" t="s">
        <v>35</v>
      </c>
      <c r="C26" s="4" t="s">
        <v>36</v>
      </c>
    </row>
    <row r="27" spans="2:3" ht="32.25" customHeight="1">
      <c r="B27" s="4" t="s">
        <v>37</v>
      </c>
      <c r="C27" s="4" t="s">
        <v>38</v>
      </c>
    </row>
    <row r="28" spans="2:3" ht="32.25" customHeight="1">
      <c r="B28" s="4" t="s">
        <v>39</v>
      </c>
      <c r="C28" s="4" t="s">
        <v>40</v>
      </c>
    </row>
    <row r="29" spans="2:3" ht="20.25" customHeight="1">
      <c r="B29" s="4" t="s">
        <v>20</v>
      </c>
      <c r="C29" s="4" t="s">
        <v>41</v>
      </c>
    </row>
    <row r="30" spans="2:3" ht="20.25" customHeight="1">
      <c r="B30" s="4" t="s">
        <v>42</v>
      </c>
      <c r="C30" s="4" t="s">
        <v>43</v>
      </c>
    </row>
    <row r="31" spans="2:3" ht="32.25" customHeight="1">
      <c r="B31" s="4" t="s">
        <v>44</v>
      </c>
      <c r="C31" s="4" t="s">
        <v>45</v>
      </c>
    </row>
  </sheetData>
  <mergeCells count="1">
    <mergeCell ref="B22:C22"/>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I37"/>
  <sheetViews>
    <sheetView showGridLines="0" tabSelected="1" workbookViewId="0">
      <pane topLeftCell="A1" activePane="bottomLeft" state="frozen"/>
      <selection pane="bottomLeft"/>
    </sheetView>
  </sheetViews>
  <sheetFormatPr defaultRowHeight="15"/>
  <cols>
    <col min="1" max="2" width="9.7109375" customWidth="1"/>
    <col min="3" max="3" width="29.7109375" customWidth="1"/>
    <col min="4" max="4" width="48.7109375" customWidth="1"/>
    <col min="5" max="5" width="13.7109375" customWidth="1"/>
    <col min="6" max="8" width="11.7109375" customWidth="1"/>
    <col min="9" max="9" width="16.7109375" customWidth="1"/>
  </cols>
  <sheetData>
    <row r="1" spans="1:9">
      <c r="A1" s="1" t="s">
        <v>661</v>
      </c>
    </row>
    <row r="2" spans="1:9">
      <c r="A2" s="2" t="s">
        <v>662</v>
      </c>
    </row>
    <row r="4" spans="1:9">
      <c r="A4" s="5" t="s">
        <v>663</v>
      </c>
      <c r="B4" s="5" t="s">
        <v>664</v>
      </c>
      <c r="C4" s="5" t="s">
        <v>665</v>
      </c>
      <c r="D4" s="5" t="s">
        <v>666</v>
      </c>
    </row>
    <row r="5" spans="1:9" ht="30.75" customHeight="1">
      <c r="A5" s="4" t="s">
        <v>667</v>
      </c>
      <c r="B5" s="4" t="s">
        <v>668</v>
      </c>
      <c r="C5" s="4" t="s">
        <v>669</v>
      </c>
      <c r="D5" s="4" t="s">
        <v>670</v>
      </c>
    </row>
    <row r="6" spans="1:9" ht="30.75" customHeight="1">
      <c r="A6" s="4" t="s">
        <v>671</v>
      </c>
      <c r="B6" s="4" t="s">
        <v>668</v>
      </c>
      <c r="C6" s="4" t="s">
        <v>672</v>
      </c>
      <c r="D6" s="4" t="s">
        <v>670</v>
      </c>
    </row>
    <row r="7" spans="1:9" ht="30.75" customHeight="1">
      <c r="A7" s="4" t="s">
        <v>673</v>
      </c>
      <c r="B7" s="4" t="s">
        <v>668</v>
      </c>
      <c r="C7" s="4" t="s">
        <v>674</v>
      </c>
      <c r="D7" s="4" t="s">
        <v>670</v>
      </c>
    </row>
    <row r="8" spans="1:9" ht="30.75" customHeight="1">
      <c r="A8" s="4" t="s">
        <v>675</v>
      </c>
      <c r="B8" s="4" t="s">
        <v>668</v>
      </c>
      <c r="C8" s="4" t="s">
        <v>676</v>
      </c>
      <c r="D8" s="4" t="s">
        <v>670</v>
      </c>
    </row>
    <row r="9" spans="1:9" ht="18" customHeight="1">
      <c r="A9" s="4" t="s">
        <v>677</v>
      </c>
      <c r="B9" s="4" t="s">
        <v>678</v>
      </c>
      <c r="C9" s="4" t="s">
        <v>679</v>
      </c>
      <c r="D9" s="4" t="s">
        <v>670</v>
      </c>
    </row>
    <row r="10" spans="1:9" ht="30.75" customHeight="1">
      <c r="A10" s="4" t="s">
        <v>680</v>
      </c>
      <c r="B10" s="4" t="s">
        <v>678</v>
      </c>
      <c r="C10" s="4" t="s">
        <v>681</v>
      </c>
      <c r="D10" s="4" t="s">
        <v>682</v>
      </c>
    </row>
    <row r="12" spans="1:9" ht="44.25" customHeight="1">
      <c r="A12" s="5" t="s">
        <v>663</v>
      </c>
      <c r="B12" s="5" t="s">
        <v>10</v>
      </c>
      <c r="C12" s="5" t="s">
        <v>683</v>
      </c>
      <c r="D12" s="5" t="s">
        <v>684</v>
      </c>
      <c r="E12" s="5" t="s">
        <v>685</v>
      </c>
      <c r="F12" s="5" t="s">
        <v>686</v>
      </c>
      <c r="G12" s="5" t="s">
        <v>687</v>
      </c>
      <c r="H12" s="5" t="s">
        <v>688</v>
      </c>
      <c r="I12" s="5" t="s">
        <v>689</v>
      </c>
    </row>
    <row r="13" spans="1:9" ht="33" customHeight="1">
      <c r="A13" s="4" t="s">
        <v>667</v>
      </c>
      <c r="B13" s="6" t="s">
        <v>49</v>
      </c>
      <c r="C13" s="4" t="s">
        <v>690</v>
      </c>
      <c r="D13" s="4" t="s">
        <v>691</v>
      </c>
      <c r="E13" s="7">
        <f>COUNTIFS('A1'!$A$5:$A$28,B13,'A1'!$B$5:$B$28,"&lt;&gt;*-T3")</f>
        <v>5</v>
      </c>
      <c r="F13" s="7">
        <f>SUMIFS('A1'!$F$5:$F$28,'A1'!$A$5:$A$28,B13)</f>
        <v>12</v>
      </c>
      <c r="G13" s="8">
        <v>3</v>
      </c>
      <c r="H13" s="7">
        <f>MAX(0,F13-G13)</f>
        <v>9</v>
      </c>
      <c r="I13" s="4" t="str">
        <f>IF(G13=0,"Chưa có bài",IF(H13=0,"Đủ","Còn thiếu"))</f>
        <v>Còn thiếu</v>
      </c>
    </row>
    <row r="14" spans="1:9" ht="33" customHeight="1">
      <c r="A14" s="4" t="s">
        <v>667</v>
      </c>
      <c r="B14" s="9" t="s">
        <v>94</v>
      </c>
      <c r="C14" s="4" t="s">
        <v>692</v>
      </c>
      <c r="D14" s="4" t="s">
        <v>693</v>
      </c>
      <c r="E14" s="7">
        <f>COUNTIFS('A1'!$A$5:$A$28,B14,'A1'!$B$5:$B$28,"&lt;&gt;*-T3")</f>
        <v>5</v>
      </c>
      <c r="F14" s="7">
        <f>SUMIFS('A1'!$F$5:$F$28,'A1'!$A$5:$A$28,B14)</f>
        <v>12</v>
      </c>
      <c r="G14" s="8">
        <v>0</v>
      </c>
      <c r="H14" s="7">
        <f>MAX(0,F14-G14)</f>
        <v>12</v>
      </c>
      <c r="I14" s="4" t="str">
        <f>IF(G14=0,"Chưa có bài",IF(H14=0,"Đủ","Còn thiếu"))</f>
        <v>Chưa có bài</v>
      </c>
    </row>
    <row r="15" spans="1:9" ht="33" customHeight="1">
      <c r="A15" s="4" t="s">
        <v>667</v>
      </c>
      <c r="B15" s="10" t="s">
        <v>125</v>
      </c>
      <c r="C15" s="4" t="s">
        <v>692</v>
      </c>
      <c r="D15" s="4" t="s">
        <v>694</v>
      </c>
      <c r="E15" s="7">
        <f>COUNTIFS('A1'!$A$5:$A$28,B15,'A1'!$B$5:$B$28,"&lt;&gt;*-T3")</f>
        <v>5</v>
      </c>
      <c r="F15" s="7">
        <f>SUMIFS('A1'!$F$5:$F$28,'A1'!$A$5:$A$28,B15)</f>
        <v>10</v>
      </c>
      <c r="G15" s="8">
        <v>0</v>
      </c>
      <c r="H15" s="7">
        <f>MAX(0,F15-G15)</f>
        <v>10</v>
      </c>
      <c r="I15" s="4" t="str">
        <f>IF(G15=0,"Chưa có bài",IF(H15=0,"Đủ","Còn thiếu"))</f>
        <v>Chưa có bài</v>
      </c>
    </row>
    <row r="16" spans="1:9" ht="33" customHeight="1">
      <c r="A16" s="4" t="s">
        <v>667</v>
      </c>
      <c r="B16" s="11" t="s">
        <v>156</v>
      </c>
      <c r="C16" s="4" t="s">
        <v>695</v>
      </c>
      <c r="D16" s="4" t="s">
        <v>696</v>
      </c>
      <c r="E16" s="7">
        <f>COUNTIFS('A1'!$A$5:$A$28,B16,'A1'!$B$5:$B$28,"&lt;&gt;*-T3")</f>
        <v>5</v>
      </c>
      <c r="F16" s="7">
        <f>SUMIFS('A1'!$F$5:$F$28,'A1'!$A$5:$A$28,B16)</f>
        <v>10</v>
      </c>
      <c r="G16" s="8">
        <v>0</v>
      </c>
      <c r="H16" s="7">
        <f>MAX(0,F16-G16)</f>
        <v>10</v>
      </c>
      <c r="I16" s="4" t="str">
        <f>IF(G16=0,"Chưa có bài",IF(H16=0,"Đủ","Còn thiếu"))</f>
        <v>Chưa có bài</v>
      </c>
    </row>
    <row r="17" spans="1:9" ht="33" customHeight="1">
      <c r="A17" s="4" t="s">
        <v>671</v>
      </c>
      <c r="B17" s="6" t="s">
        <v>49</v>
      </c>
      <c r="C17" s="4" t="s">
        <v>697</v>
      </c>
      <c r="D17" s="4" t="s">
        <v>698</v>
      </c>
      <c r="E17" s="7">
        <f>COUNTIFS('A2'!$A$5:$A$27,B17,'A2'!$B$5:$B$27,"&lt;&gt;*-T3")</f>
        <v>5</v>
      </c>
      <c r="F17" s="7">
        <f>SUMIFS('A2'!$F$5:$F$27,'A2'!$A$5:$A$27,B17)</f>
        <v>12</v>
      </c>
      <c r="G17" s="8">
        <v>1</v>
      </c>
      <c r="H17" s="7">
        <f>MAX(0,F17-G17)</f>
        <v>11</v>
      </c>
      <c r="I17" s="4" t="str">
        <f>IF(G17=0,"Chưa có bài",IF(H17=0,"Đủ","Còn thiếu"))</f>
        <v>Còn thiếu</v>
      </c>
    </row>
    <row r="18" spans="1:9" ht="18" customHeight="1">
      <c r="A18" s="4" t="s">
        <v>671</v>
      </c>
      <c r="B18" s="9" t="s">
        <v>94</v>
      </c>
      <c r="C18" s="4" t="s">
        <v>692</v>
      </c>
      <c r="D18" s="4" t="s">
        <v>699</v>
      </c>
      <c r="E18" s="7">
        <f>COUNTIFS('A2'!$A$5:$A$27,B18,'A2'!$B$5:$B$27,"&lt;&gt;*-T3")</f>
        <v>5</v>
      </c>
      <c r="F18" s="7">
        <f>SUMIFS('A2'!$F$5:$F$27,'A2'!$A$5:$A$27,B18)</f>
        <v>14</v>
      </c>
      <c r="G18" s="8">
        <v>12</v>
      </c>
      <c r="H18" s="7">
        <f>MAX(0,F18-G18)</f>
        <v>2</v>
      </c>
      <c r="I18" s="4" t="str">
        <f>IF(G18=0,"Chưa có bài",IF(H18=0,"Đủ","Còn thiếu"))</f>
        <v>Còn thiếu</v>
      </c>
    </row>
    <row r="19" spans="1:9" ht="33" customHeight="1">
      <c r="A19" s="4" t="s">
        <v>671</v>
      </c>
      <c r="B19" s="10" t="s">
        <v>125</v>
      </c>
      <c r="C19" s="4" t="s">
        <v>700</v>
      </c>
      <c r="D19" s="4" t="s">
        <v>701</v>
      </c>
      <c r="E19" s="7">
        <f>COUNTIFS('A2'!$A$5:$A$27,B19,'A2'!$B$5:$B$27,"&lt;&gt;*-T3")</f>
        <v>6</v>
      </c>
      <c r="F19" s="7">
        <f>SUMIFS('A2'!$F$5:$F$27,'A2'!$A$5:$A$27,B19)</f>
        <v>10</v>
      </c>
      <c r="G19" s="8">
        <v>0</v>
      </c>
      <c r="H19" s="7">
        <f>MAX(0,F19-G19)</f>
        <v>10</v>
      </c>
      <c r="I19" s="4" t="str">
        <f>IF(G19=0,"Chưa có bài",IF(H19=0,"Đủ","Còn thiếu"))</f>
        <v>Chưa có bài</v>
      </c>
    </row>
    <row r="20" spans="1:9" ht="33" customHeight="1">
      <c r="A20" s="4" t="s">
        <v>671</v>
      </c>
      <c r="B20" s="11" t="s">
        <v>156</v>
      </c>
      <c r="C20" s="4" t="s">
        <v>702</v>
      </c>
      <c r="D20" s="4" t="s">
        <v>703</v>
      </c>
      <c r="E20" s="7">
        <f>COUNTIFS('A2'!$A$5:$A$27,B20,'A2'!$B$5:$B$27,"&lt;&gt;*-T3")</f>
        <v>3</v>
      </c>
      <c r="F20" s="7">
        <f>SUMIFS('A2'!$F$5:$F$27,'A2'!$A$5:$A$27,B20)</f>
        <v>10</v>
      </c>
      <c r="G20" s="8">
        <v>0</v>
      </c>
      <c r="H20" s="7">
        <f>MAX(0,F20-G20)</f>
        <v>10</v>
      </c>
      <c r="I20" s="4" t="str">
        <f>IF(G20=0,"Chưa có bài",IF(H20=0,"Đủ","Còn thiếu"))</f>
        <v>Chưa có bài</v>
      </c>
    </row>
    <row r="21" spans="1:9" ht="33" customHeight="1">
      <c r="A21" s="4" t="s">
        <v>673</v>
      </c>
      <c r="B21" s="6" t="s">
        <v>49</v>
      </c>
      <c r="C21" s="4" t="s">
        <v>697</v>
      </c>
      <c r="D21" s="4" t="s">
        <v>704</v>
      </c>
      <c r="E21" s="7">
        <f>COUNTIFS('B1'!$A$5:$A$29,B21,'B1'!$B$5:$B$29,"&lt;&gt;*-T3")</f>
        <v>6</v>
      </c>
      <c r="F21" s="7">
        <f>SUMIFS('B1'!$F$5:$F$29,'B1'!$A$5:$A$29,B21)</f>
        <v>14</v>
      </c>
      <c r="G21" s="8">
        <v>9</v>
      </c>
      <c r="H21" s="7">
        <f>MAX(0,F21-G21)</f>
        <v>5</v>
      </c>
      <c r="I21" s="4" t="str">
        <f>IF(G21=0,"Chưa có bài",IF(H21=0,"Đủ","Còn thiếu"))</f>
        <v>Còn thiếu</v>
      </c>
    </row>
    <row r="22" spans="1:9" ht="18" customHeight="1">
      <c r="A22" s="4" t="s">
        <v>673</v>
      </c>
      <c r="B22" s="9" t="s">
        <v>94</v>
      </c>
      <c r="C22" s="4" t="s">
        <v>700</v>
      </c>
      <c r="D22" s="4" t="s">
        <v>705</v>
      </c>
      <c r="E22" s="7">
        <f>COUNTIFS('B1'!$A$5:$A$29,B22,'B1'!$B$5:$B$29,"&lt;&gt;*-T3")</f>
        <v>5</v>
      </c>
      <c r="F22" s="7">
        <f>SUMIFS('B1'!$F$5:$F$29,'B1'!$A$5:$A$29,B22)</f>
        <v>12</v>
      </c>
      <c r="G22" s="8">
        <v>5</v>
      </c>
      <c r="H22" s="7">
        <f>MAX(0,F22-G22)</f>
        <v>7</v>
      </c>
      <c r="I22" s="4" t="str">
        <f>IF(G22=0,"Chưa có bài",IF(H22=0,"Đủ","Còn thiếu"))</f>
        <v>Còn thiếu</v>
      </c>
    </row>
    <row r="23" spans="1:9" ht="18" customHeight="1">
      <c r="A23" s="4" t="s">
        <v>673</v>
      </c>
      <c r="B23" s="10" t="s">
        <v>125</v>
      </c>
      <c r="C23" s="4" t="s">
        <v>700</v>
      </c>
      <c r="D23" s="4" t="s">
        <v>706</v>
      </c>
      <c r="E23" s="7">
        <f>COUNTIFS('B1'!$A$5:$A$29,B23,'B1'!$B$5:$B$29,"&lt;&gt;*-T3")</f>
        <v>6</v>
      </c>
      <c r="F23" s="7">
        <f>SUMIFS('B1'!$F$5:$F$29,'B1'!$A$5:$A$29,B23)</f>
        <v>12</v>
      </c>
      <c r="G23" s="8">
        <v>4</v>
      </c>
      <c r="H23" s="7">
        <f>MAX(0,F23-G23)</f>
        <v>8</v>
      </c>
      <c r="I23" s="4" t="str">
        <f>IF(G23=0,"Chưa có bài",IF(H23=0,"Đủ","Còn thiếu"))</f>
        <v>Còn thiếu</v>
      </c>
    </row>
    <row r="24" spans="1:9" ht="33" customHeight="1">
      <c r="A24" s="4" t="s">
        <v>673</v>
      </c>
      <c r="B24" s="11" t="s">
        <v>156</v>
      </c>
      <c r="C24" s="4" t="s">
        <v>707</v>
      </c>
      <c r="D24" s="4" t="s">
        <v>708</v>
      </c>
      <c r="E24" s="7">
        <f>COUNTIFS('B1'!$A$5:$A$29,B24,'B1'!$B$5:$B$29,"&lt;&gt;*-T3")</f>
        <v>4</v>
      </c>
      <c r="F24" s="7">
        <f>SUMIFS('B1'!$F$5:$F$29,'B1'!$A$5:$A$29,B24)</f>
        <v>12</v>
      </c>
      <c r="G24" s="8">
        <v>0</v>
      </c>
      <c r="H24" s="7">
        <f>MAX(0,F24-G24)</f>
        <v>12</v>
      </c>
      <c r="I24" s="4" t="str">
        <f>IF(G24=0,"Chưa có bài",IF(H24=0,"Đủ","Còn thiếu"))</f>
        <v>Chưa có bài</v>
      </c>
    </row>
    <row r="25" spans="1:9" ht="33" customHeight="1">
      <c r="A25" s="4" t="s">
        <v>675</v>
      </c>
      <c r="B25" s="6" t="s">
        <v>49</v>
      </c>
      <c r="C25" s="4" t="s">
        <v>692</v>
      </c>
      <c r="D25" s="4" t="s">
        <v>709</v>
      </c>
      <c r="E25" s="7">
        <f>COUNTIFS('B2'!$A$5:$A$27,B25,'B2'!$B$5:$B$27,"&lt;&gt;*-T3")</f>
        <v>5</v>
      </c>
      <c r="F25" s="7">
        <f>SUMIFS('B2'!$F$5:$F$27,'B2'!$A$5:$A$27,B25)</f>
        <v>12</v>
      </c>
      <c r="G25" s="8">
        <v>3</v>
      </c>
      <c r="H25" s="7">
        <f>MAX(0,F25-G25)</f>
        <v>9</v>
      </c>
      <c r="I25" s="4" t="str">
        <f>IF(G25=0,"Chưa có bài",IF(H25=0,"Đủ","Còn thiếu"))</f>
        <v>Còn thiếu</v>
      </c>
    </row>
    <row r="26" spans="1:9" ht="33" customHeight="1">
      <c r="A26" s="4" t="s">
        <v>675</v>
      </c>
      <c r="B26" s="9" t="s">
        <v>94</v>
      </c>
      <c r="C26" s="4" t="s">
        <v>710</v>
      </c>
      <c r="D26" s="4" t="s">
        <v>711</v>
      </c>
      <c r="E26" s="7">
        <f>COUNTIFS('B2'!$A$5:$A$27,B26,'B2'!$B$5:$B$27,"&lt;&gt;*-T3")</f>
        <v>5</v>
      </c>
      <c r="F26" s="7">
        <f>SUMIFS('B2'!$F$5:$F$27,'B2'!$A$5:$A$27,B26)</f>
        <v>12</v>
      </c>
      <c r="G26" s="8">
        <v>2</v>
      </c>
      <c r="H26" s="7">
        <f>MAX(0,F26-G26)</f>
        <v>10</v>
      </c>
      <c r="I26" s="4" t="str">
        <f>IF(G26=0,"Chưa có bài",IF(H26=0,"Đủ","Còn thiếu"))</f>
        <v>Còn thiếu</v>
      </c>
    </row>
    <row r="27" spans="1:9" ht="18" customHeight="1">
      <c r="A27" s="4" t="s">
        <v>675</v>
      </c>
      <c r="B27" s="10" t="s">
        <v>125</v>
      </c>
      <c r="C27" s="4" t="s">
        <v>710</v>
      </c>
      <c r="D27" s="4" t="s">
        <v>712</v>
      </c>
      <c r="E27" s="7">
        <f>COUNTIFS('B2'!$A$5:$A$27,B27,'B2'!$B$5:$B$27,"&lt;&gt;*-T3")</f>
        <v>5</v>
      </c>
      <c r="F27" s="7">
        <f>SUMIFS('B2'!$F$5:$F$27,'B2'!$A$5:$A$27,B27)</f>
        <v>12</v>
      </c>
      <c r="G27" s="8">
        <v>3</v>
      </c>
      <c r="H27" s="7">
        <f>MAX(0,F27-G27)</f>
        <v>9</v>
      </c>
      <c r="I27" s="4" t="str">
        <f>IF(G27=0,"Chưa có bài",IF(H27=0,"Đủ","Còn thiếu"))</f>
        <v>Còn thiếu</v>
      </c>
    </row>
    <row r="28" spans="1:9" ht="33" customHeight="1">
      <c r="A28" s="4" t="s">
        <v>675</v>
      </c>
      <c r="B28" s="11" t="s">
        <v>156</v>
      </c>
      <c r="C28" s="4" t="s">
        <v>713</v>
      </c>
      <c r="D28" s="4" t="s">
        <v>714</v>
      </c>
      <c r="E28" s="7">
        <f>COUNTIFS('B2'!$A$5:$A$27,B28,'B2'!$B$5:$B$27,"&lt;&gt;*-T3")</f>
        <v>4</v>
      </c>
      <c r="F28" s="7">
        <f>SUMIFS('B2'!$F$5:$F$27,'B2'!$A$5:$A$27,B28)</f>
        <v>12</v>
      </c>
      <c r="G28" s="8">
        <v>0</v>
      </c>
      <c r="H28" s="7">
        <f>MAX(0,F28-G28)</f>
        <v>12</v>
      </c>
      <c r="I28" s="4" t="str">
        <f>IF(G28=0,"Chưa có bài",IF(H28=0,"Đủ","Còn thiếu"))</f>
        <v>Chưa có bài</v>
      </c>
    </row>
    <row r="29" spans="1:9" ht="33" customHeight="1">
      <c r="A29" s="4" t="s">
        <v>677</v>
      </c>
      <c r="B29" s="6" t="s">
        <v>49</v>
      </c>
      <c r="C29" s="4" t="s">
        <v>715</v>
      </c>
      <c r="D29" s="4" t="s">
        <v>716</v>
      </c>
      <c r="E29" s="7">
        <f>COUNTIFS('C1'!$A$5:$A$28,B29,'C1'!$B$5:$B$28,"&lt;&gt;*-T3")</f>
        <v>5</v>
      </c>
      <c r="F29" s="7">
        <f>SUMIFS('C1'!$F$5:$F$28,'C1'!$A$5:$A$28,B29)</f>
        <v>12</v>
      </c>
      <c r="G29" s="8">
        <v>0</v>
      </c>
      <c r="H29" s="7">
        <f>MAX(0,F29-G29)</f>
        <v>12</v>
      </c>
      <c r="I29" s="4" t="str">
        <f>IF(G29=0,"Chưa có bài",IF(H29=0,"Đủ","Còn thiếu"))</f>
        <v>Chưa có bài</v>
      </c>
    </row>
    <row r="30" spans="1:9" ht="33" customHeight="1">
      <c r="A30" s="4" t="s">
        <v>677</v>
      </c>
      <c r="B30" s="9" t="s">
        <v>94</v>
      </c>
      <c r="C30" s="4" t="s">
        <v>717</v>
      </c>
      <c r="D30" s="4" t="s">
        <v>718</v>
      </c>
      <c r="E30" s="7">
        <f>COUNTIFS('C1'!$A$5:$A$28,B30,'C1'!$B$5:$B$28,"&lt;&gt;*-T3")</f>
        <v>5</v>
      </c>
      <c r="F30" s="7">
        <f>SUMIFS('C1'!$F$5:$F$28,'C1'!$A$5:$A$28,B30)</f>
        <v>12</v>
      </c>
      <c r="G30" s="8">
        <v>1</v>
      </c>
      <c r="H30" s="7">
        <f>MAX(0,F30-G30)</f>
        <v>11</v>
      </c>
      <c r="I30" s="4" t="str">
        <f>IF(G30=0,"Chưa có bài",IF(H30=0,"Đủ","Còn thiếu"))</f>
        <v>Còn thiếu</v>
      </c>
    </row>
    <row r="31" spans="1:9" ht="33" customHeight="1">
      <c r="A31" s="4" t="s">
        <v>677</v>
      </c>
      <c r="B31" s="10" t="s">
        <v>125</v>
      </c>
      <c r="C31" s="4" t="s">
        <v>719</v>
      </c>
      <c r="D31" s="4" t="s">
        <v>720</v>
      </c>
      <c r="E31" s="7">
        <f>COUNTIFS('C1'!$A$5:$A$28,B31,'C1'!$B$5:$B$28,"&lt;&gt;*-T3")</f>
        <v>6</v>
      </c>
      <c r="F31" s="7">
        <f>SUMIFS('C1'!$F$5:$F$28,'C1'!$A$5:$A$28,B31)</f>
        <v>14</v>
      </c>
      <c r="G31" s="8">
        <v>0</v>
      </c>
      <c r="H31" s="7">
        <f>MAX(0,F31-G31)</f>
        <v>14</v>
      </c>
      <c r="I31" s="4" t="str">
        <f>IF(G31=0,"Chưa có bài",IF(H31=0,"Đủ","Còn thiếu"))</f>
        <v>Chưa có bài</v>
      </c>
    </row>
    <row r="32" spans="1:9" ht="33" customHeight="1">
      <c r="A32" s="4" t="s">
        <v>677</v>
      </c>
      <c r="B32" s="11" t="s">
        <v>156</v>
      </c>
      <c r="C32" s="4" t="s">
        <v>721</v>
      </c>
      <c r="D32" s="4" t="s">
        <v>722</v>
      </c>
      <c r="E32" s="7">
        <f>COUNTIFS('C1'!$A$5:$A$28,B32,'C1'!$B$5:$B$28,"&lt;&gt;*-T3")</f>
        <v>4</v>
      </c>
      <c r="F32" s="7">
        <f>SUMIFS('C1'!$F$5:$F$28,'C1'!$A$5:$A$28,B32)</f>
        <v>12</v>
      </c>
      <c r="G32" s="8">
        <v>0</v>
      </c>
      <c r="H32" s="7">
        <f>MAX(0,F32-G32)</f>
        <v>12</v>
      </c>
      <c r="I32" s="4" t="str">
        <f>IF(G32=0,"Chưa có bài",IF(H32=0,"Đủ","Còn thiếu"))</f>
        <v>Chưa có bài</v>
      </c>
    </row>
    <row r="33" spans="1:9" ht="33" customHeight="1">
      <c r="A33" s="4" t="s">
        <v>680</v>
      </c>
      <c r="B33" s="6" t="s">
        <v>49</v>
      </c>
      <c r="C33" s="4" t="s">
        <v>723</v>
      </c>
      <c r="D33" s="4" t="s">
        <v>724</v>
      </c>
      <c r="E33" s="7">
        <f>COUNTIFS('C2'!$A$5:$A$21,B33,'C2'!$B$5:$B$21,"&lt;&gt;*-T3")</f>
        <v>4</v>
      </c>
      <c r="F33" s="7">
        <f>SUMIFS('C2'!$F$5:$F$21,'C2'!$A$5:$A$21,B33)</f>
        <v>10</v>
      </c>
      <c r="G33" s="8">
        <v>0</v>
      </c>
      <c r="H33" s="7">
        <f>MAX(0,F33-G33)</f>
        <v>10</v>
      </c>
      <c r="I33" s="4" t="str">
        <f>IF(G33=0,"Chưa có bài",IF(H33=0,"Đủ","Còn thiếu"))</f>
        <v>Chưa có bài</v>
      </c>
    </row>
    <row r="34" spans="1:9" ht="33" customHeight="1">
      <c r="A34" s="4" t="s">
        <v>680</v>
      </c>
      <c r="B34" s="9" t="s">
        <v>94</v>
      </c>
      <c r="C34" s="4" t="s">
        <v>725</v>
      </c>
      <c r="D34" s="4" t="s">
        <v>726</v>
      </c>
      <c r="E34" s="7">
        <f>COUNTIFS('C2'!$A$5:$A$21,B34,'C2'!$B$5:$B$21,"&lt;&gt;*-T3")</f>
        <v>3</v>
      </c>
      <c r="F34" s="7">
        <f>SUMIFS('C2'!$F$5:$F$21,'C2'!$A$5:$A$21,B34)</f>
        <v>10</v>
      </c>
      <c r="G34" s="8">
        <v>0</v>
      </c>
      <c r="H34" s="7">
        <f>MAX(0,F34-G34)</f>
        <v>10</v>
      </c>
      <c r="I34" s="4" t="str">
        <f>IF(G34=0,"Chưa có bài",IF(H34=0,"Đủ","Còn thiếu"))</f>
        <v>Chưa có bài</v>
      </c>
    </row>
    <row r="35" spans="1:9" ht="33" customHeight="1">
      <c r="A35" s="4" t="s">
        <v>680</v>
      </c>
      <c r="B35" s="10" t="s">
        <v>125</v>
      </c>
      <c r="C35" s="4" t="s">
        <v>725</v>
      </c>
      <c r="D35" s="4" t="s">
        <v>727</v>
      </c>
      <c r="E35" s="7">
        <f>COUNTIFS('C2'!$A$5:$A$21,B35,'C2'!$B$5:$B$21,"&lt;&gt;*-T3")</f>
        <v>3</v>
      </c>
      <c r="F35" s="7">
        <f>SUMIFS('C2'!$F$5:$F$21,'C2'!$A$5:$A$21,B35)</f>
        <v>10</v>
      </c>
      <c r="G35" s="8">
        <v>0</v>
      </c>
      <c r="H35" s="7">
        <f>MAX(0,F35-G35)</f>
        <v>10</v>
      </c>
      <c r="I35" s="4" t="str">
        <f>IF(G35=0,"Chưa có bài",IF(H35=0,"Đủ","Còn thiếu"))</f>
        <v>Chưa có bài</v>
      </c>
    </row>
    <row r="36" spans="1:9" ht="48" customHeight="1">
      <c r="A36" s="4" t="s">
        <v>680</v>
      </c>
      <c r="B36" s="11" t="s">
        <v>156</v>
      </c>
      <c r="C36" s="4" t="s">
        <v>728</v>
      </c>
      <c r="D36" s="4" t="s">
        <v>729</v>
      </c>
      <c r="E36" s="7">
        <f>COUNTIFS('C2'!$A$5:$A$21,B36,'C2'!$B$5:$B$21,"&lt;&gt;*-T3")</f>
        <v>3</v>
      </c>
      <c r="F36" s="7">
        <f>SUMIFS('C2'!$F$5:$F$21,'C2'!$A$5:$A$21,B36)</f>
        <v>10</v>
      </c>
      <c r="G36" s="8">
        <v>0</v>
      </c>
      <c r="H36" s="7">
        <f>MAX(0,F36-G36)</f>
        <v>10</v>
      </c>
      <c r="I36" s="4" t="str">
        <f>IF(G36=0,"Chưa có bài",IF(H36=0,"Đủ","Còn thiếu"))</f>
        <v>Chưa có bài</v>
      </c>
    </row>
    <row r="37" spans="1:9">
      <c r="A37" s="12" t="s">
        <v>191</v>
      </c>
      <c r="B37" s="12"/>
      <c r="C37" s="12"/>
      <c r="D37" s="12"/>
      <c r="E37" s="13">
        <f>SUM(E13:E36)</f>
        <v>112</v>
      </c>
      <c r="F37" s="13">
        <f>SUM(F13:F36)</f>
        <v>278</v>
      </c>
      <c r="G37" s="13">
        <f>SUM(G13:G36)</f>
        <v>43</v>
      </c>
      <c r="H37" s="13">
        <f>SUM(H13:H36)</f>
        <v>235</v>
      </c>
      <c r="I37" s="12"/>
    </row>
  </sheetData>
  <autoFilter ref="A12:I36"/>
  <conditionalFormatting sqref="I13:I36">
    <cfRule type="cellIs" dxfId="0" priority="1" operator="equal">
      <formula>"Chưa có bài"</formula>
    </cfRule>
    <cfRule type="cellIs" dxfId="1" priority="2" operator="equal">
      <formula>"Đủ"</formula>
    </cfRule>
  </conditionalFormatting>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J29"/>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46</v>
      </c>
    </row>
    <row r="2" spans="1:10">
      <c r="A2" s="2" t="s">
        <v>47</v>
      </c>
    </row>
    <row r="3" spans="1:10">
      <c r="A3" s="2" t="s">
        <v>48</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50</v>
      </c>
      <c r="C5" s="4" t="s">
        <v>51</v>
      </c>
      <c r="D5" s="4" t="s">
        <v>52</v>
      </c>
      <c r="E5" s="4" t="s">
        <v>53</v>
      </c>
      <c r="F5" s="7">
        <v>2</v>
      </c>
      <c r="G5" s="4" t="s">
        <v>54</v>
      </c>
      <c r="H5" s="4" t="s">
        <v>55</v>
      </c>
      <c r="I5" s="4" t="s">
        <v>56</v>
      </c>
      <c r="J5" s="14" t="s">
        <v>57</v>
      </c>
    </row>
    <row r="6" spans="1:10" ht="33" customHeight="1">
      <c r="A6" s="6" t="s">
        <v>49</v>
      </c>
      <c r="B6" s="4" t="s">
        <v>58</v>
      </c>
      <c r="C6" s="4" t="s">
        <v>59</v>
      </c>
      <c r="D6" s="4" t="s">
        <v>60</v>
      </c>
      <c r="E6" s="4" t="s">
        <v>61</v>
      </c>
      <c r="F6" s="7">
        <v>2</v>
      </c>
      <c r="G6" s="4" t="s">
        <v>62</v>
      </c>
      <c r="H6" s="4" t="s">
        <v>63</v>
      </c>
      <c r="I6" s="4" t="s">
        <v>64</v>
      </c>
      <c r="J6" s="14" t="s">
        <v>57</v>
      </c>
    </row>
    <row r="7" spans="1:10" ht="33" customHeight="1">
      <c r="A7" s="6" t="s">
        <v>49</v>
      </c>
      <c r="B7" s="4" t="s">
        <v>65</v>
      </c>
      <c r="C7" s="4" t="s">
        <v>66</v>
      </c>
      <c r="D7" s="4" t="s">
        <v>67</v>
      </c>
      <c r="E7" s="4" t="s">
        <v>61</v>
      </c>
      <c r="F7" s="7">
        <v>2</v>
      </c>
      <c r="G7" s="4" t="s">
        <v>68</v>
      </c>
      <c r="H7" s="4" t="s">
        <v>69</v>
      </c>
      <c r="I7" s="4" t="s">
        <v>70</v>
      </c>
      <c r="J7" s="14" t="s">
        <v>57</v>
      </c>
    </row>
    <row r="8" spans="1:10" ht="33" customHeight="1">
      <c r="A8" s="6" t="s">
        <v>49</v>
      </c>
      <c r="B8" s="4" t="s">
        <v>71</v>
      </c>
      <c r="C8" s="4" t="s">
        <v>72</v>
      </c>
      <c r="D8" s="4" t="s">
        <v>73</v>
      </c>
      <c r="E8" s="4" t="s">
        <v>74</v>
      </c>
      <c r="F8" s="7">
        <v>2</v>
      </c>
      <c r="G8" s="4" t="s">
        <v>75</v>
      </c>
      <c r="H8" s="4" t="s">
        <v>76</v>
      </c>
      <c r="I8" s="4" t="s">
        <v>77</v>
      </c>
      <c r="J8" s="15" t="s">
        <v>78</v>
      </c>
    </row>
    <row r="9" spans="1:10" ht="33" customHeight="1">
      <c r="A9" s="6" t="s">
        <v>49</v>
      </c>
      <c r="B9" s="4" t="s">
        <v>79</v>
      </c>
      <c r="C9" s="4" t="s">
        <v>80</v>
      </c>
      <c r="D9" s="4" t="s">
        <v>81</v>
      </c>
      <c r="E9" s="4" t="s">
        <v>82</v>
      </c>
      <c r="F9" s="7">
        <v>2</v>
      </c>
      <c r="G9" s="4" t="s">
        <v>83</v>
      </c>
      <c r="H9" s="4" t="s">
        <v>84</v>
      </c>
      <c r="I9" s="4" t="s">
        <v>85</v>
      </c>
      <c r="J9" s="14" t="s">
        <v>57</v>
      </c>
    </row>
    <row r="10" spans="1:10" ht="33" customHeight="1">
      <c r="A10" s="6" t="s">
        <v>49</v>
      </c>
      <c r="B10" s="16" t="s">
        <v>86</v>
      </c>
      <c r="C10" s="16" t="s">
        <v>87</v>
      </c>
      <c r="D10" s="16" t="s">
        <v>88</v>
      </c>
      <c r="E10" s="16" t="s">
        <v>89</v>
      </c>
      <c r="F10" s="17">
        <v>2</v>
      </c>
      <c r="G10" s="16" t="s">
        <v>90</v>
      </c>
      <c r="H10" s="16" t="s">
        <v>91</v>
      </c>
      <c r="I10" s="16" t="s">
        <v>92</v>
      </c>
      <c r="J10" s="15" t="s">
        <v>93</v>
      </c>
    </row>
    <row r="11" spans="1:10" ht="33" customHeight="1">
      <c r="A11" s="9" t="s">
        <v>94</v>
      </c>
      <c r="B11" s="4" t="s">
        <v>95</v>
      </c>
      <c r="C11" s="4" t="s">
        <v>96</v>
      </c>
      <c r="D11" s="4" t="s">
        <v>97</v>
      </c>
      <c r="E11" s="4" t="s">
        <v>53</v>
      </c>
      <c r="F11" s="7">
        <v>2</v>
      </c>
      <c r="G11" s="4" t="s">
        <v>98</v>
      </c>
      <c r="H11" s="4" t="s">
        <v>99</v>
      </c>
      <c r="I11" s="4" t="s">
        <v>100</v>
      </c>
      <c r="J11" s="14" t="s">
        <v>57</v>
      </c>
    </row>
    <row r="12" spans="1:10" ht="33" customHeight="1">
      <c r="A12" s="9" t="s">
        <v>94</v>
      </c>
      <c r="B12" s="4" t="s">
        <v>101</v>
      </c>
      <c r="C12" s="4" t="s">
        <v>102</v>
      </c>
      <c r="D12" s="4" t="s">
        <v>103</v>
      </c>
      <c r="E12" s="4" t="s">
        <v>61</v>
      </c>
      <c r="F12" s="7">
        <v>2</v>
      </c>
      <c r="G12" s="4" t="s">
        <v>68</v>
      </c>
      <c r="H12" s="4" t="s">
        <v>99</v>
      </c>
      <c r="I12" s="4" t="s">
        <v>104</v>
      </c>
      <c r="J12" s="14" t="s">
        <v>57</v>
      </c>
    </row>
    <row r="13" spans="1:10" ht="33" customHeight="1">
      <c r="A13" s="9" t="s">
        <v>94</v>
      </c>
      <c r="B13" s="4" t="s">
        <v>105</v>
      </c>
      <c r="C13" s="4" t="s">
        <v>106</v>
      </c>
      <c r="D13" s="4" t="s">
        <v>107</v>
      </c>
      <c r="E13" s="4" t="s">
        <v>108</v>
      </c>
      <c r="F13" s="7">
        <v>2</v>
      </c>
      <c r="G13" s="4" t="s">
        <v>109</v>
      </c>
      <c r="H13" s="4" t="s">
        <v>99</v>
      </c>
      <c r="I13" s="4" t="s">
        <v>110</v>
      </c>
      <c r="J13" s="14" t="s">
        <v>57</v>
      </c>
    </row>
    <row r="14" spans="1:10" ht="33" customHeight="1">
      <c r="A14" s="9" t="s">
        <v>94</v>
      </c>
      <c r="B14" s="4" t="s">
        <v>111</v>
      </c>
      <c r="C14" s="4" t="s">
        <v>112</v>
      </c>
      <c r="D14" s="4" t="s">
        <v>113</v>
      </c>
      <c r="E14" s="4" t="s">
        <v>53</v>
      </c>
      <c r="F14" s="7">
        <v>2</v>
      </c>
      <c r="G14" s="4" t="s">
        <v>75</v>
      </c>
      <c r="H14" s="4" t="s">
        <v>114</v>
      </c>
      <c r="I14" s="4" t="s">
        <v>115</v>
      </c>
      <c r="J14" s="14" t="s">
        <v>57</v>
      </c>
    </row>
    <row r="15" spans="1:10" ht="33" customHeight="1">
      <c r="A15" s="9" t="s">
        <v>94</v>
      </c>
      <c r="B15" s="4" t="s">
        <v>116</v>
      </c>
      <c r="C15" s="4" t="s">
        <v>117</v>
      </c>
      <c r="D15" s="4" t="s">
        <v>118</v>
      </c>
      <c r="E15" s="4" t="s">
        <v>119</v>
      </c>
      <c r="F15" s="7">
        <v>2</v>
      </c>
      <c r="G15" s="4" t="s">
        <v>120</v>
      </c>
      <c r="H15" s="4" t="s">
        <v>121</v>
      </c>
      <c r="I15" s="4" t="s">
        <v>122</v>
      </c>
      <c r="J15" s="14" t="s">
        <v>57</v>
      </c>
    </row>
    <row r="16" spans="1:10" ht="33" customHeight="1">
      <c r="A16" s="9" t="s">
        <v>94</v>
      </c>
      <c r="B16" s="16" t="s">
        <v>123</v>
      </c>
      <c r="C16" s="16" t="s">
        <v>87</v>
      </c>
      <c r="D16" s="16" t="s">
        <v>124</v>
      </c>
      <c r="E16" s="16" t="s">
        <v>89</v>
      </c>
      <c r="F16" s="17">
        <v>2</v>
      </c>
      <c r="G16" s="16" t="s">
        <v>90</v>
      </c>
      <c r="H16" s="16" t="s">
        <v>91</v>
      </c>
      <c r="I16" s="16" t="s">
        <v>92</v>
      </c>
      <c r="J16" s="15" t="s">
        <v>93</v>
      </c>
    </row>
    <row r="17" spans="1:10" ht="33" customHeight="1">
      <c r="A17" s="10" t="s">
        <v>125</v>
      </c>
      <c r="B17" s="4" t="s">
        <v>126</v>
      </c>
      <c r="C17" s="4" t="s">
        <v>127</v>
      </c>
      <c r="D17" s="4" t="s">
        <v>128</v>
      </c>
      <c r="E17" s="4" t="s">
        <v>129</v>
      </c>
      <c r="F17" s="7">
        <v>2</v>
      </c>
      <c r="G17" s="4" t="s">
        <v>98</v>
      </c>
      <c r="H17" s="4" t="s">
        <v>130</v>
      </c>
      <c r="I17" s="4" t="s">
        <v>131</v>
      </c>
      <c r="J17" s="14" t="s">
        <v>57</v>
      </c>
    </row>
    <row r="18" spans="1:10" ht="33" customHeight="1">
      <c r="A18" s="10" t="s">
        <v>125</v>
      </c>
      <c r="B18" s="4" t="s">
        <v>132</v>
      </c>
      <c r="C18" s="4" t="s">
        <v>133</v>
      </c>
      <c r="D18" s="4" t="s">
        <v>134</v>
      </c>
      <c r="E18" s="4" t="s">
        <v>135</v>
      </c>
      <c r="F18" s="7">
        <v>2</v>
      </c>
      <c r="G18" s="4" t="s">
        <v>68</v>
      </c>
      <c r="H18" s="4" t="s">
        <v>136</v>
      </c>
      <c r="I18" s="4" t="s">
        <v>137</v>
      </c>
      <c r="J18" s="15" t="s">
        <v>93</v>
      </c>
    </row>
    <row r="19" spans="1:10" ht="33" customHeight="1">
      <c r="A19" s="10" t="s">
        <v>125</v>
      </c>
      <c r="B19" s="4" t="s">
        <v>138</v>
      </c>
      <c r="C19" s="4" t="s">
        <v>139</v>
      </c>
      <c r="D19" s="4" t="s">
        <v>140</v>
      </c>
      <c r="E19" s="4" t="s">
        <v>135</v>
      </c>
      <c r="F19" s="7">
        <v>2</v>
      </c>
      <c r="G19" s="4" t="s">
        <v>68</v>
      </c>
      <c r="H19" s="4" t="s">
        <v>141</v>
      </c>
      <c r="I19" s="4" t="s">
        <v>142</v>
      </c>
      <c r="J19" s="15" t="s">
        <v>93</v>
      </c>
    </row>
    <row r="20" spans="1:10" ht="33" customHeight="1">
      <c r="A20" s="10" t="s">
        <v>125</v>
      </c>
      <c r="B20" s="4" t="s">
        <v>143</v>
      </c>
      <c r="C20" s="4" t="s">
        <v>144</v>
      </c>
      <c r="D20" s="4" t="s">
        <v>145</v>
      </c>
      <c r="E20" s="4" t="s">
        <v>119</v>
      </c>
      <c r="F20" s="7">
        <v>1</v>
      </c>
      <c r="G20" s="4" t="s">
        <v>68</v>
      </c>
      <c r="H20" s="4" t="s">
        <v>146</v>
      </c>
      <c r="I20" s="4" t="s">
        <v>147</v>
      </c>
      <c r="J20" s="14" t="s">
        <v>57</v>
      </c>
    </row>
    <row r="21" spans="1:10" ht="33" customHeight="1">
      <c r="A21" s="10" t="s">
        <v>125</v>
      </c>
      <c r="B21" s="4" t="s">
        <v>148</v>
      </c>
      <c r="C21" s="4" t="s">
        <v>149</v>
      </c>
      <c r="D21" s="4" t="s">
        <v>150</v>
      </c>
      <c r="E21" s="4" t="s">
        <v>151</v>
      </c>
      <c r="F21" s="7">
        <v>1</v>
      </c>
      <c r="G21" s="4" t="s">
        <v>68</v>
      </c>
      <c r="H21" s="4" t="s">
        <v>152</v>
      </c>
      <c r="I21" s="4" t="s">
        <v>153</v>
      </c>
      <c r="J21" s="14" t="s">
        <v>57</v>
      </c>
    </row>
    <row r="22" spans="1:10" ht="33" customHeight="1">
      <c r="A22" s="10" t="s">
        <v>125</v>
      </c>
      <c r="B22" s="16" t="s">
        <v>154</v>
      </c>
      <c r="C22" s="16" t="s">
        <v>87</v>
      </c>
      <c r="D22" s="16" t="s">
        <v>155</v>
      </c>
      <c r="E22" s="16" t="s">
        <v>89</v>
      </c>
      <c r="F22" s="17">
        <v>2</v>
      </c>
      <c r="G22" s="16" t="s">
        <v>90</v>
      </c>
      <c r="H22" s="16" t="s">
        <v>91</v>
      </c>
      <c r="I22" s="16" t="s">
        <v>92</v>
      </c>
      <c r="J22" s="15" t="s">
        <v>93</v>
      </c>
    </row>
    <row r="23" spans="1:10" ht="33" customHeight="1">
      <c r="A23" s="11" t="s">
        <v>156</v>
      </c>
      <c r="B23" s="4" t="s">
        <v>157</v>
      </c>
      <c r="C23" s="4" t="s">
        <v>158</v>
      </c>
      <c r="D23" s="4" t="s">
        <v>159</v>
      </c>
      <c r="E23" s="4" t="s">
        <v>160</v>
      </c>
      <c r="F23" s="7">
        <v>2</v>
      </c>
      <c r="G23" s="4" t="s">
        <v>161</v>
      </c>
      <c r="H23" s="4" t="s">
        <v>162</v>
      </c>
      <c r="I23" s="4" t="s">
        <v>163</v>
      </c>
      <c r="J23" s="15" t="s">
        <v>93</v>
      </c>
    </row>
    <row r="24" spans="1:10" ht="33" customHeight="1">
      <c r="A24" s="11" t="s">
        <v>156</v>
      </c>
      <c r="B24" s="4" t="s">
        <v>164</v>
      </c>
      <c r="C24" s="4" t="s">
        <v>165</v>
      </c>
      <c r="D24" s="4" t="s">
        <v>166</v>
      </c>
      <c r="E24" s="4" t="s">
        <v>160</v>
      </c>
      <c r="F24" s="7">
        <v>2</v>
      </c>
      <c r="G24" s="4" t="s">
        <v>167</v>
      </c>
      <c r="H24" s="4" t="s">
        <v>168</v>
      </c>
      <c r="I24" s="4" t="s">
        <v>169</v>
      </c>
      <c r="J24" s="15" t="s">
        <v>93</v>
      </c>
    </row>
    <row r="25" spans="1:10" ht="33" customHeight="1">
      <c r="A25" s="11" t="s">
        <v>156</v>
      </c>
      <c r="B25" s="4" t="s">
        <v>170</v>
      </c>
      <c r="C25" s="4" t="s">
        <v>171</v>
      </c>
      <c r="D25" s="4" t="s">
        <v>172</v>
      </c>
      <c r="E25" s="4" t="s">
        <v>160</v>
      </c>
      <c r="F25" s="7">
        <v>2</v>
      </c>
      <c r="G25" s="4" t="s">
        <v>173</v>
      </c>
      <c r="H25" s="4" t="s">
        <v>174</v>
      </c>
      <c r="I25" s="4" t="s">
        <v>175</v>
      </c>
      <c r="J25" s="15" t="s">
        <v>93</v>
      </c>
    </row>
    <row r="26" spans="1:10" ht="33" customHeight="1">
      <c r="A26" s="11" t="s">
        <v>156</v>
      </c>
      <c r="B26" s="4" t="s">
        <v>176</v>
      </c>
      <c r="C26" s="4" t="s">
        <v>177</v>
      </c>
      <c r="D26" s="4" t="s">
        <v>178</v>
      </c>
      <c r="E26" s="4" t="s">
        <v>179</v>
      </c>
      <c r="F26" s="7">
        <v>1</v>
      </c>
      <c r="G26" s="4" t="s">
        <v>173</v>
      </c>
      <c r="H26" s="4" t="s">
        <v>180</v>
      </c>
      <c r="I26" s="4" t="s">
        <v>181</v>
      </c>
      <c r="J26" s="15" t="s">
        <v>93</v>
      </c>
    </row>
    <row r="27" spans="1:10" ht="33" customHeight="1">
      <c r="A27" s="11" t="s">
        <v>156</v>
      </c>
      <c r="B27" s="4" t="s">
        <v>182</v>
      </c>
      <c r="C27" s="4" t="s">
        <v>183</v>
      </c>
      <c r="D27" s="4" t="s">
        <v>184</v>
      </c>
      <c r="E27" s="4" t="s">
        <v>185</v>
      </c>
      <c r="F27" s="7">
        <v>1</v>
      </c>
      <c r="G27" s="4" t="s">
        <v>186</v>
      </c>
      <c r="H27" s="4" t="s">
        <v>187</v>
      </c>
      <c r="I27" s="4" t="s">
        <v>188</v>
      </c>
      <c r="J27" s="14" t="s">
        <v>57</v>
      </c>
    </row>
    <row r="28" spans="1:10" ht="33" customHeight="1">
      <c r="A28" s="11" t="s">
        <v>156</v>
      </c>
      <c r="B28" s="16" t="s">
        <v>189</v>
      </c>
      <c r="C28" s="16" t="s">
        <v>87</v>
      </c>
      <c r="D28" s="16" t="s">
        <v>190</v>
      </c>
      <c r="E28" s="16" t="s">
        <v>89</v>
      </c>
      <c r="F28" s="17">
        <v>2</v>
      </c>
      <c r="G28" s="16" t="s">
        <v>90</v>
      </c>
      <c r="H28" s="16" t="s">
        <v>91</v>
      </c>
      <c r="I28" s="16" t="s">
        <v>92</v>
      </c>
      <c r="J28" s="15" t="s">
        <v>93</v>
      </c>
    </row>
    <row r="29" spans="1:10">
      <c r="A29" s="12" t="s">
        <v>191</v>
      </c>
      <c r="B29" s="12"/>
      <c r="C29" s="12"/>
      <c r="D29" s="12"/>
      <c r="E29" s="12"/>
      <c r="F29" s="13">
        <f>SUM(F5:F28)</f>
        <v>44</v>
      </c>
      <c r="G29" s="12"/>
      <c r="H29" s="12"/>
      <c r="I29" s="12"/>
      <c r="J29" s="12"/>
    </row>
  </sheetData>
  <autoFilter ref="A4:J28"/>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J28"/>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192</v>
      </c>
    </row>
    <row r="2" spans="1:10">
      <c r="A2" s="2" t="s">
        <v>193</v>
      </c>
    </row>
    <row r="3" spans="1:10">
      <c r="A3" s="2" t="s">
        <v>194</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195</v>
      </c>
      <c r="C5" s="4" t="s">
        <v>196</v>
      </c>
      <c r="D5" s="4" t="s">
        <v>197</v>
      </c>
      <c r="E5" s="4" t="s">
        <v>61</v>
      </c>
      <c r="F5" s="7">
        <v>2</v>
      </c>
      <c r="G5" s="4" t="s">
        <v>98</v>
      </c>
      <c r="H5" s="4" t="s">
        <v>198</v>
      </c>
      <c r="I5" s="4" t="s">
        <v>199</v>
      </c>
      <c r="J5" s="14" t="s">
        <v>57</v>
      </c>
    </row>
    <row r="6" spans="1:10" ht="33" customHeight="1">
      <c r="A6" s="6" t="s">
        <v>49</v>
      </c>
      <c r="B6" s="4" t="s">
        <v>200</v>
      </c>
      <c r="C6" s="4" t="s">
        <v>201</v>
      </c>
      <c r="D6" s="4" t="s">
        <v>202</v>
      </c>
      <c r="E6" s="4" t="s">
        <v>61</v>
      </c>
      <c r="F6" s="7">
        <v>2</v>
      </c>
      <c r="G6" s="4" t="s">
        <v>68</v>
      </c>
      <c r="H6" s="4" t="s">
        <v>198</v>
      </c>
      <c r="I6" s="4" t="s">
        <v>203</v>
      </c>
      <c r="J6" s="14" t="s">
        <v>57</v>
      </c>
    </row>
    <row r="7" spans="1:10" ht="33" customHeight="1">
      <c r="A7" s="6" t="s">
        <v>49</v>
      </c>
      <c r="B7" s="4" t="s">
        <v>204</v>
      </c>
      <c r="C7" s="4" t="s">
        <v>205</v>
      </c>
      <c r="D7" s="4" t="s">
        <v>206</v>
      </c>
      <c r="E7" s="4" t="s">
        <v>61</v>
      </c>
      <c r="F7" s="7">
        <v>2</v>
      </c>
      <c r="G7" s="4" t="s">
        <v>109</v>
      </c>
      <c r="H7" s="4" t="s">
        <v>198</v>
      </c>
      <c r="I7" s="4" t="s">
        <v>207</v>
      </c>
      <c r="J7" s="14" t="s">
        <v>57</v>
      </c>
    </row>
    <row r="8" spans="1:10" ht="33" customHeight="1">
      <c r="A8" s="6" t="s">
        <v>49</v>
      </c>
      <c r="B8" s="4" t="s">
        <v>208</v>
      </c>
      <c r="C8" s="4" t="s">
        <v>209</v>
      </c>
      <c r="D8" s="4" t="s">
        <v>210</v>
      </c>
      <c r="E8" s="4" t="s">
        <v>74</v>
      </c>
      <c r="F8" s="7">
        <v>2</v>
      </c>
      <c r="G8" s="4" t="s">
        <v>75</v>
      </c>
      <c r="H8" s="4" t="s">
        <v>211</v>
      </c>
      <c r="I8" s="4" t="s">
        <v>212</v>
      </c>
      <c r="J8" s="15" t="s">
        <v>78</v>
      </c>
    </row>
    <row r="9" spans="1:10" ht="33" customHeight="1">
      <c r="A9" s="6" t="s">
        <v>49</v>
      </c>
      <c r="B9" s="4" t="s">
        <v>213</v>
      </c>
      <c r="C9" s="4" t="s">
        <v>214</v>
      </c>
      <c r="D9" s="4" t="s">
        <v>215</v>
      </c>
      <c r="E9" s="4" t="s">
        <v>61</v>
      </c>
      <c r="F9" s="7">
        <v>2</v>
      </c>
      <c r="G9" s="4" t="s">
        <v>216</v>
      </c>
      <c r="H9" s="4" t="s">
        <v>217</v>
      </c>
      <c r="I9" s="4" t="s">
        <v>218</v>
      </c>
      <c r="J9" s="14" t="s">
        <v>57</v>
      </c>
    </row>
    <row r="10" spans="1:10" ht="33" customHeight="1">
      <c r="A10" s="6" t="s">
        <v>49</v>
      </c>
      <c r="B10" s="16" t="s">
        <v>219</v>
      </c>
      <c r="C10" s="16" t="s">
        <v>87</v>
      </c>
      <c r="D10" s="16" t="s">
        <v>88</v>
      </c>
      <c r="E10" s="16" t="s">
        <v>89</v>
      </c>
      <c r="F10" s="17">
        <v>2</v>
      </c>
      <c r="G10" s="16" t="s">
        <v>90</v>
      </c>
      <c r="H10" s="16" t="s">
        <v>91</v>
      </c>
      <c r="I10" s="16" t="s">
        <v>92</v>
      </c>
      <c r="J10" s="15" t="s">
        <v>93</v>
      </c>
    </row>
    <row r="11" spans="1:10" ht="33" customHeight="1">
      <c r="A11" s="9" t="s">
        <v>94</v>
      </c>
      <c r="B11" s="4" t="s">
        <v>220</v>
      </c>
      <c r="C11" s="4" t="s">
        <v>221</v>
      </c>
      <c r="D11" s="4" t="s">
        <v>222</v>
      </c>
      <c r="E11" s="4" t="s">
        <v>61</v>
      </c>
      <c r="F11" s="7">
        <v>3</v>
      </c>
      <c r="G11" s="4" t="s">
        <v>223</v>
      </c>
      <c r="H11" s="4" t="s">
        <v>198</v>
      </c>
      <c r="I11" s="4" t="s">
        <v>224</v>
      </c>
      <c r="J11" s="14" t="s">
        <v>57</v>
      </c>
    </row>
    <row r="12" spans="1:10" ht="33" customHeight="1">
      <c r="A12" s="9" t="s">
        <v>94</v>
      </c>
      <c r="B12" s="4" t="s">
        <v>225</v>
      </c>
      <c r="C12" s="4" t="s">
        <v>226</v>
      </c>
      <c r="D12" s="4" t="s">
        <v>227</v>
      </c>
      <c r="E12" s="4" t="s">
        <v>61</v>
      </c>
      <c r="F12" s="7">
        <v>3</v>
      </c>
      <c r="G12" s="4" t="s">
        <v>228</v>
      </c>
      <c r="H12" s="4" t="s">
        <v>198</v>
      </c>
      <c r="I12" s="4" t="s">
        <v>229</v>
      </c>
      <c r="J12" s="14" t="s">
        <v>57</v>
      </c>
    </row>
    <row r="13" spans="1:10" ht="33" customHeight="1">
      <c r="A13" s="9" t="s">
        <v>94</v>
      </c>
      <c r="B13" s="4" t="s">
        <v>230</v>
      </c>
      <c r="C13" s="4" t="s">
        <v>231</v>
      </c>
      <c r="D13" s="4" t="s">
        <v>232</v>
      </c>
      <c r="E13" s="4" t="s">
        <v>108</v>
      </c>
      <c r="F13" s="7">
        <v>2</v>
      </c>
      <c r="G13" s="4" t="s">
        <v>233</v>
      </c>
      <c r="H13" s="4" t="s">
        <v>198</v>
      </c>
      <c r="I13" s="4" t="s">
        <v>234</v>
      </c>
      <c r="J13" s="14" t="s">
        <v>57</v>
      </c>
    </row>
    <row r="14" spans="1:10" ht="18" customHeight="1">
      <c r="A14" s="9" t="s">
        <v>94</v>
      </c>
      <c r="B14" s="4" t="s">
        <v>235</v>
      </c>
      <c r="C14" s="4" t="s">
        <v>236</v>
      </c>
      <c r="D14" s="4" t="s">
        <v>237</v>
      </c>
      <c r="E14" s="4" t="s">
        <v>61</v>
      </c>
      <c r="F14" s="7">
        <v>2</v>
      </c>
      <c r="G14" s="4" t="s">
        <v>238</v>
      </c>
      <c r="H14" s="4" t="s">
        <v>198</v>
      </c>
      <c r="I14" s="4" t="s">
        <v>239</v>
      </c>
      <c r="J14" s="14" t="s">
        <v>57</v>
      </c>
    </row>
    <row r="15" spans="1:10" ht="33" customHeight="1">
      <c r="A15" s="9" t="s">
        <v>94</v>
      </c>
      <c r="B15" s="4" t="s">
        <v>240</v>
      </c>
      <c r="C15" s="4" t="s">
        <v>241</v>
      </c>
      <c r="D15" s="4" t="s">
        <v>242</v>
      </c>
      <c r="E15" s="4" t="s">
        <v>61</v>
      </c>
      <c r="F15" s="7">
        <v>2</v>
      </c>
      <c r="G15" s="4" t="s">
        <v>243</v>
      </c>
      <c r="H15" s="4" t="s">
        <v>244</v>
      </c>
      <c r="I15" s="4" t="s">
        <v>245</v>
      </c>
      <c r="J15" s="14" t="s">
        <v>57</v>
      </c>
    </row>
    <row r="16" spans="1:10" ht="33" customHeight="1">
      <c r="A16" s="9" t="s">
        <v>94</v>
      </c>
      <c r="B16" s="16" t="s">
        <v>246</v>
      </c>
      <c r="C16" s="16" t="s">
        <v>87</v>
      </c>
      <c r="D16" s="16" t="s">
        <v>124</v>
      </c>
      <c r="E16" s="16" t="s">
        <v>89</v>
      </c>
      <c r="F16" s="17">
        <v>2</v>
      </c>
      <c r="G16" s="16" t="s">
        <v>90</v>
      </c>
      <c r="H16" s="16" t="s">
        <v>91</v>
      </c>
      <c r="I16" s="16" t="s">
        <v>92</v>
      </c>
      <c r="J16" s="15" t="s">
        <v>93</v>
      </c>
    </row>
    <row r="17" spans="1:10" ht="33" customHeight="1">
      <c r="A17" s="10" t="s">
        <v>125</v>
      </c>
      <c r="B17" s="4" t="s">
        <v>247</v>
      </c>
      <c r="C17" s="4" t="s">
        <v>248</v>
      </c>
      <c r="D17" s="4" t="s">
        <v>249</v>
      </c>
      <c r="E17" s="4" t="s">
        <v>135</v>
      </c>
      <c r="F17" s="7">
        <v>2</v>
      </c>
      <c r="G17" s="4" t="s">
        <v>98</v>
      </c>
      <c r="H17" s="4" t="s">
        <v>250</v>
      </c>
      <c r="I17" s="4" t="s">
        <v>251</v>
      </c>
      <c r="J17" s="15" t="s">
        <v>93</v>
      </c>
    </row>
    <row r="18" spans="1:10" ht="33" customHeight="1">
      <c r="A18" s="10" t="s">
        <v>125</v>
      </c>
      <c r="B18" s="4" t="s">
        <v>252</v>
      </c>
      <c r="C18" s="4" t="s">
        <v>253</v>
      </c>
      <c r="D18" s="4" t="s">
        <v>254</v>
      </c>
      <c r="E18" s="4" t="s">
        <v>135</v>
      </c>
      <c r="F18" s="7">
        <v>1</v>
      </c>
      <c r="G18" s="4" t="s">
        <v>98</v>
      </c>
      <c r="H18" s="4" t="s">
        <v>255</v>
      </c>
      <c r="I18" s="4" t="s">
        <v>256</v>
      </c>
      <c r="J18" s="15" t="s">
        <v>93</v>
      </c>
    </row>
    <row r="19" spans="1:10" ht="33" customHeight="1">
      <c r="A19" s="10" t="s">
        <v>125</v>
      </c>
      <c r="B19" s="4" t="s">
        <v>257</v>
      </c>
      <c r="C19" s="4" t="s">
        <v>258</v>
      </c>
      <c r="D19" s="4" t="s">
        <v>259</v>
      </c>
      <c r="E19" s="4" t="s">
        <v>135</v>
      </c>
      <c r="F19" s="7">
        <v>2</v>
      </c>
      <c r="G19" s="4" t="s">
        <v>68</v>
      </c>
      <c r="H19" s="4" t="s">
        <v>260</v>
      </c>
      <c r="I19" s="4" t="s">
        <v>261</v>
      </c>
      <c r="J19" s="15" t="s">
        <v>93</v>
      </c>
    </row>
    <row r="20" spans="1:10" ht="33" customHeight="1">
      <c r="A20" s="10" t="s">
        <v>125</v>
      </c>
      <c r="B20" s="4" t="s">
        <v>262</v>
      </c>
      <c r="C20" s="4" t="s">
        <v>263</v>
      </c>
      <c r="D20" s="4" t="s">
        <v>264</v>
      </c>
      <c r="E20" s="4" t="s">
        <v>135</v>
      </c>
      <c r="F20" s="7">
        <v>1</v>
      </c>
      <c r="G20" s="4" t="s">
        <v>68</v>
      </c>
      <c r="H20" s="4" t="s">
        <v>260</v>
      </c>
      <c r="I20" s="4" t="s">
        <v>265</v>
      </c>
      <c r="J20" s="15" t="s">
        <v>93</v>
      </c>
    </row>
    <row r="21" spans="1:10" ht="33" customHeight="1">
      <c r="A21" s="10" t="s">
        <v>125</v>
      </c>
      <c r="B21" s="4" t="s">
        <v>266</v>
      </c>
      <c r="C21" s="4" t="s">
        <v>267</v>
      </c>
      <c r="D21" s="4" t="s">
        <v>268</v>
      </c>
      <c r="E21" s="4" t="s">
        <v>119</v>
      </c>
      <c r="F21" s="7">
        <v>1</v>
      </c>
      <c r="G21" s="4" t="s">
        <v>98</v>
      </c>
      <c r="H21" s="4" t="s">
        <v>269</v>
      </c>
      <c r="I21" s="4" t="s">
        <v>270</v>
      </c>
      <c r="J21" s="14" t="s">
        <v>57</v>
      </c>
    </row>
    <row r="22" spans="1:10" ht="33" customHeight="1">
      <c r="A22" s="10" t="s">
        <v>125</v>
      </c>
      <c r="B22" s="4" t="s">
        <v>271</v>
      </c>
      <c r="C22" s="4" t="s">
        <v>272</v>
      </c>
      <c r="D22" s="4" t="s">
        <v>273</v>
      </c>
      <c r="E22" s="4" t="s">
        <v>151</v>
      </c>
      <c r="F22" s="7">
        <v>1</v>
      </c>
      <c r="G22" s="4" t="s">
        <v>274</v>
      </c>
      <c r="H22" s="4" t="s">
        <v>275</v>
      </c>
      <c r="I22" s="4" t="s">
        <v>276</v>
      </c>
      <c r="J22" s="14" t="s">
        <v>57</v>
      </c>
    </row>
    <row r="23" spans="1:10" ht="33" customHeight="1">
      <c r="A23" s="10" t="s">
        <v>125</v>
      </c>
      <c r="B23" s="16" t="s">
        <v>277</v>
      </c>
      <c r="C23" s="16" t="s">
        <v>87</v>
      </c>
      <c r="D23" s="16" t="s">
        <v>155</v>
      </c>
      <c r="E23" s="16" t="s">
        <v>89</v>
      </c>
      <c r="F23" s="17">
        <v>2</v>
      </c>
      <c r="G23" s="16" t="s">
        <v>90</v>
      </c>
      <c r="H23" s="16" t="s">
        <v>91</v>
      </c>
      <c r="I23" s="16" t="s">
        <v>92</v>
      </c>
      <c r="J23" s="15" t="s">
        <v>93</v>
      </c>
    </row>
    <row r="24" spans="1:10" ht="33" customHeight="1">
      <c r="A24" s="11" t="s">
        <v>156</v>
      </c>
      <c r="B24" s="4" t="s">
        <v>278</v>
      </c>
      <c r="C24" s="4" t="s">
        <v>279</v>
      </c>
      <c r="D24" s="4" t="s">
        <v>280</v>
      </c>
      <c r="E24" s="4" t="s">
        <v>160</v>
      </c>
      <c r="F24" s="7">
        <v>2</v>
      </c>
      <c r="G24" s="4" t="s">
        <v>161</v>
      </c>
      <c r="H24" s="4" t="s">
        <v>281</v>
      </c>
      <c r="I24" s="4" t="s">
        <v>282</v>
      </c>
      <c r="J24" s="15" t="s">
        <v>93</v>
      </c>
    </row>
    <row r="25" spans="1:10" ht="33" customHeight="1">
      <c r="A25" s="11" t="s">
        <v>156</v>
      </c>
      <c r="B25" s="4" t="s">
        <v>283</v>
      </c>
      <c r="C25" s="4" t="s">
        <v>284</v>
      </c>
      <c r="D25" s="4" t="s">
        <v>285</v>
      </c>
      <c r="E25" s="4" t="s">
        <v>160</v>
      </c>
      <c r="F25" s="7">
        <v>3</v>
      </c>
      <c r="G25" s="4" t="s">
        <v>167</v>
      </c>
      <c r="H25" s="4" t="s">
        <v>286</v>
      </c>
      <c r="I25" s="4" t="s">
        <v>287</v>
      </c>
      <c r="J25" s="15" t="s">
        <v>93</v>
      </c>
    </row>
    <row r="26" spans="1:10" ht="33" customHeight="1">
      <c r="A26" s="11" t="s">
        <v>156</v>
      </c>
      <c r="B26" s="4" t="s">
        <v>288</v>
      </c>
      <c r="C26" s="4" t="s">
        <v>289</v>
      </c>
      <c r="D26" s="4" t="s">
        <v>290</v>
      </c>
      <c r="E26" s="4" t="s">
        <v>160</v>
      </c>
      <c r="F26" s="7">
        <v>3</v>
      </c>
      <c r="G26" s="4" t="s">
        <v>173</v>
      </c>
      <c r="H26" s="4" t="s">
        <v>291</v>
      </c>
      <c r="I26" s="4" t="s">
        <v>292</v>
      </c>
      <c r="J26" s="15" t="s">
        <v>93</v>
      </c>
    </row>
    <row r="27" spans="1:10" ht="33" customHeight="1">
      <c r="A27" s="11" t="s">
        <v>156</v>
      </c>
      <c r="B27" s="16" t="s">
        <v>293</v>
      </c>
      <c r="C27" s="16" t="s">
        <v>87</v>
      </c>
      <c r="D27" s="16" t="s">
        <v>190</v>
      </c>
      <c r="E27" s="16" t="s">
        <v>89</v>
      </c>
      <c r="F27" s="17">
        <v>2</v>
      </c>
      <c r="G27" s="16" t="s">
        <v>90</v>
      </c>
      <c r="H27" s="16" t="s">
        <v>91</v>
      </c>
      <c r="I27" s="16" t="s">
        <v>92</v>
      </c>
      <c r="J27" s="15" t="s">
        <v>93</v>
      </c>
    </row>
    <row r="28" spans="1:10">
      <c r="A28" s="12" t="s">
        <v>191</v>
      </c>
      <c r="B28" s="12"/>
      <c r="C28" s="12"/>
      <c r="D28" s="12"/>
      <c r="E28" s="12"/>
      <c r="F28" s="13">
        <f>SUM(F5:F27)</f>
        <v>46</v>
      </c>
      <c r="G28" s="12"/>
      <c r="H28" s="12"/>
      <c r="I28" s="12"/>
      <c r="J28" s="12"/>
    </row>
  </sheetData>
  <autoFilter ref="A4:J27"/>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J30"/>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294</v>
      </c>
    </row>
    <row r="2" spans="1:10">
      <c r="A2" s="2" t="s">
        <v>295</v>
      </c>
    </row>
    <row r="3" spans="1:10">
      <c r="A3" s="2" t="s">
        <v>296</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297</v>
      </c>
      <c r="C5" s="4" t="s">
        <v>298</v>
      </c>
      <c r="D5" s="4" t="s">
        <v>299</v>
      </c>
      <c r="E5" s="4" t="s">
        <v>61</v>
      </c>
      <c r="F5" s="7">
        <v>2</v>
      </c>
      <c r="G5" s="4" t="s">
        <v>300</v>
      </c>
      <c r="H5" s="4" t="s">
        <v>198</v>
      </c>
      <c r="I5" s="4" t="s">
        <v>301</v>
      </c>
      <c r="J5" s="14" t="s">
        <v>57</v>
      </c>
    </row>
    <row r="6" spans="1:10" ht="33" customHeight="1">
      <c r="A6" s="6" t="s">
        <v>49</v>
      </c>
      <c r="B6" s="4" t="s">
        <v>302</v>
      </c>
      <c r="C6" s="4" t="s">
        <v>303</v>
      </c>
      <c r="D6" s="4" t="s">
        <v>304</v>
      </c>
      <c r="E6" s="4" t="s">
        <v>61</v>
      </c>
      <c r="F6" s="7">
        <v>3</v>
      </c>
      <c r="G6" s="4" t="s">
        <v>217</v>
      </c>
      <c r="H6" s="4" t="s">
        <v>198</v>
      </c>
      <c r="I6" s="4" t="s">
        <v>305</v>
      </c>
      <c r="J6" s="14" t="s">
        <v>57</v>
      </c>
    </row>
    <row r="7" spans="1:10" ht="18" customHeight="1">
      <c r="A7" s="6" t="s">
        <v>49</v>
      </c>
      <c r="B7" s="4" t="s">
        <v>306</v>
      </c>
      <c r="C7" s="4" t="s">
        <v>307</v>
      </c>
      <c r="D7" s="4" t="s">
        <v>308</v>
      </c>
      <c r="E7" s="4" t="s">
        <v>61</v>
      </c>
      <c r="F7" s="7">
        <v>2</v>
      </c>
      <c r="G7" s="4" t="s">
        <v>309</v>
      </c>
      <c r="H7" s="4" t="s">
        <v>198</v>
      </c>
      <c r="I7" s="4" t="s">
        <v>310</v>
      </c>
      <c r="J7" s="14" t="s">
        <v>57</v>
      </c>
    </row>
    <row r="8" spans="1:10" ht="33" customHeight="1">
      <c r="A8" s="6" t="s">
        <v>49</v>
      </c>
      <c r="B8" s="4" t="s">
        <v>311</v>
      </c>
      <c r="C8" s="4" t="s">
        <v>312</v>
      </c>
      <c r="D8" s="4" t="s">
        <v>313</v>
      </c>
      <c r="E8" s="4" t="s">
        <v>61</v>
      </c>
      <c r="F8" s="7">
        <v>2</v>
      </c>
      <c r="G8" s="4" t="s">
        <v>314</v>
      </c>
      <c r="H8" s="4" t="s">
        <v>198</v>
      </c>
      <c r="I8" s="4" t="s">
        <v>315</v>
      </c>
      <c r="J8" s="14" t="s">
        <v>57</v>
      </c>
    </row>
    <row r="9" spans="1:10" ht="33" customHeight="1">
      <c r="A9" s="6" t="s">
        <v>49</v>
      </c>
      <c r="B9" s="4" t="s">
        <v>316</v>
      </c>
      <c r="C9" s="4" t="s">
        <v>317</v>
      </c>
      <c r="D9" s="4" t="s">
        <v>318</v>
      </c>
      <c r="E9" s="4" t="s">
        <v>61</v>
      </c>
      <c r="F9" s="7">
        <v>2</v>
      </c>
      <c r="G9" s="4" t="s">
        <v>319</v>
      </c>
      <c r="H9" s="4" t="s">
        <v>198</v>
      </c>
      <c r="I9" s="4" t="s">
        <v>320</v>
      </c>
      <c r="J9" s="14" t="s">
        <v>57</v>
      </c>
    </row>
    <row r="10" spans="1:10" ht="33" customHeight="1">
      <c r="A10" s="6" t="s">
        <v>49</v>
      </c>
      <c r="B10" s="4" t="s">
        <v>321</v>
      </c>
      <c r="C10" s="4" t="s">
        <v>322</v>
      </c>
      <c r="D10" s="4" t="s">
        <v>323</v>
      </c>
      <c r="E10" s="4" t="s">
        <v>324</v>
      </c>
      <c r="F10" s="7">
        <v>1</v>
      </c>
      <c r="G10" s="4" t="s">
        <v>325</v>
      </c>
      <c r="H10" s="4" t="s">
        <v>326</v>
      </c>
      <c r="I10" s="4" t="s">
        <v>327</v>
      </c>
      <c r="J10" s="14" t="s">
        <v>57</v>
      </c>
    </row>
    <row r="11" spans="1:10" ht="33" customHeight="1">
      <c r="A11" s="6" t="s">
        <v>49</v>
      </c>
      <c r="B11" s="16" t="s">
        <v>328</v>
      </c>
      <c r="C11" s="16" t="s">
        <v>87</v>
      </c>
      <c r="D11" s="16" t="s">
        <v>88</v>
      </c>
      <c r="E11" s="16" t="s">
        <v>89</v>
      </c>
      <c r="F11" s="17">
        <v>2</v>
      </c>
      <c r="G11" s="16" t="s">
        <v>90</v>
      </c>
      <c r="H11" s="16" t="s">
        <v>91</v>
      </c>
      <c r="I11" s="16" t="s">
        <v>92</v>
      </c>
      <c r="J11" s="15" t="s">
        <v>93</v>
      </c>
    </row>
    <row r="12" spans="1:10" ht="33" customHeight="1">
      <c r="A12" s="9" t="s">
        <v>94</v>
      </c>
      <c r="B12" s="4" t="s">
        <v>329</v>
      </c>
      <c r="C12" s="4" t="s">
        <v>330</v>
      </c>
      <c r="D12" s="4" t="s">
        <v>331</v>
      </c>
      <c r="E12" s="4" t="s">
        <v>332</v>
      </c>
      <c r="F12" s="7">
        <v>3</v>
      </c>
      <c r="G12" s="4" t="s">
        <v>98</v>
      </c>
      <c r="H12" s="4" t="s">
        <v>98</v>
      </c>
      <c r="I12" s="4" t="s">
        <v>333</v>
      </c>
      <c r="J12" s="14" t="s">
        <v>57</v>
      </c>
    </row>
    <row r="13" spans="1:10" ht="18" customHeight="1">
      <c r="A13" s="9" t="s">
        <v>94</v>
      </c>
      <c r="B13" s="4" t="s">
        <v>334</v>
      </c>
      <c r="C13" s="4" t="s">
        <v>335</v>
      </c>
      <c r="D13" s="4" t="s">
        <v>336</v>
      </c>
      <c r="E13" s="4" t="s">
        <v>61</v>
      </c>
      <c r="F13" s="7">
        <v>2</v>
      </c>
      <c r="G13" s="4" t="s">
        <v>337</v>
      </c>
      <c r="H13" s="4" t="s">
        <v>198</v>
      </c>
      <c r="I13" s="4" t="s">
        <v>338</v>
      </c>
      <c r="J13" s="14" t="s">
        <v>57</v>
      </c>
    </row>
    <row r="14" spans="1:10" ht="18" customHeight="1">
      <c r="A14" s="9" t="s">
        <v>94</v>
      </c>
      <c r="B14" s="4" t="s">
        <v>339</v>
      </c>
      <c r="C14" s="4" t="s">
        <v>340</v>
      </c>
      <c r="D14" s="4" t="s">
        <v>341</v>
      </c>
      <c r="E14" s="4" t="s">
        <v>342</v>
      </c>
      <c r="F14" s="7">
        <v>2</v>
      </c>
      <c r="G14" s="4" t="s">
        <v>343</v>
      </c>
      <c r="H14" s="4" t="s">
        <v>198</v>
      </c>
      <c r="I14" s="4" t="s">
        <v>344</v>
      </c>
      <c r="J14" s="14" t="s">
        <v>57</v>
      </c>
    </row>
    <row r="15" spans="1:10" ht="33" customHeight="1">
      <c r="A15" s="9" t="s">
        <v>94</v>
      </c>
      <c r="B15" s="4" t="s">
        <v>345</v>
      </c>
      <c r="C15" s="4" t="s">
        <v>346</v>
      </c>
      <c r="D15" s="4" t="s">
        <v>347</v>
      </c>
      <c r="E15" s="4" t="s">
        <v>61</v>
      </c>
      <c r="F15" s="7">
        <v>2</v>
      </c>
      <c r="G15" s="4" t="s">
        <v>348</v>
      </c>
      <c r="H15" s="4" t="s">
        <v>198</v>
      </c>
      <c r="I15" s="4" t="s">
        <v>349</v>
      </c>
      <c r="J15" s="14" t="s">
        <v>57</v>
      </c>
    </row>
    <row r="16" spans="1:10" ht="33" customHeight="1">
      <c r="A16" s="9" t="s">
        <v>94</v>
      </c>
      <c r="B16" s="4" t="s">
        <v>350</v>
      </c>
      <c r="C16" s="4" t="s">
        <v>351</v>
      </c>
      <c r="D16" s="4" t="s">
        <v>352</v>
      </c>
      <c r="E16" s="4" t="s">
        <v>61</v>
      </c>
      <c r="F16" s="7">
        <v>1</v>
      </c>
      <c r="G16" s="4" t="s">
        <v>343</v>
      </c>
      <c r="H16" s="4" t="s">
        <v>198</v>
      </c>
      <c r="I16" s="4" t="s">
        <v>353</v>
      </c>
      <c r="J16" s="14" t="s">
        <v>57</v>
      </c>
    </row>
    <row r="17" spans="1:10" ht="33" customHeight="1">
      <c r="A17" s="9" t="s">
        <v>94</v>
      </c>
      <c r="B17" s="16" t="s">
        <v>354</v>
      </c>
      <c r="C17" s="16" t="s">
        <v>87</v>
      </c>
      <c r="D17" s="16" t="s">
        <v>124</v>
      </c>
      <c r="E17" s="16" t="s">
        <v>89</v>
      </c>
      <c r="F17" s="17">
        <v>2</v>
      </c>
      <c r="G17" s="16" t="s">
        <v>90</v>
      </c>
      <c r="H17" s="16" t="s">
        <v>91</v>
      </c>
      <c r="I17" s="16" t="s">
        <v>92</v>
      </c>
      <c r="J17" s="15" t="s">
        <v>93</v>
      </c>
    </row>
    <row r="18" spans="1:10" ht="33" customHeight="1">
      <c r="A18" s="10" t="s">
        <v>125</v>
      </c>
      <c r="B18" s="4" t="s">
        <v>355</v>
      </c>
      <c r="C18" s="4" t="s">
        <v>356</v>
      </c>
      <c r="D18" s="4" t="s">
        <v>357</v>
      </c>
      <c r="E18" s="4" t="s">
        <v>135</v>
      </c>
      <c r="F18" s="7">
        <v>2</v>
      </c>
      <c r="G18" s="4" t="s">
        <v>358</v>
      </c>
      <c r="H18" s="4" t="s">
        <v>260</v>
      </c>
      <c r="I18" s="4" t="s">
        <v>359</v>
      </c>
      <c r="J18" s="15" t="s">
        <v>93</v>
      </c>
    </row>
    <row r="19" spans="1:10" ht="33" customHeight="1">
      <c r="A19" s="10" t="s">
        <v>125</v>
      </c>
      <c r="B19" s="4" t="s">
        <v>360</v>
      </c>
      <c r="C19" s="4" t="s">
        <v>361</v>
      </c>
      <c r="D19" s="4" t="s">
        <v>362</v>
      </c>
      <c r="E19" s="4" t="s">
        <v>135</v>
      </c>
      <c r="F19" s="7">
        <v>2</v>
      </c>
      <c r="G19" s="4" t="s">
        <v>363</v>
      </c>
      <c r="H19" s="4" t="s">
        <v>364</v>
      </c>
      <c r="I19" s="4" t="s">
        <v>365</v>
      </c>
      <c r="J19" s="15" t="s">
        <v>93</v>
      </c>
    </row>
    <row r="20" spans="1:10" ht="33" customHeight="1">
      <c r="A20" s="10" t="s">
        <v>125</v>
      </c>
      <c r="B20" s="4" t="s">
        <v>366</v>
      </c>
      <c r="C20" s="4" t="s">
        <v>367</v>
      </c>
      <c r="D20" s="4" t="s">
        <v>368</v>
      </c>
      <c r="E20" s="4" t="s">
        <v>135</v>
      </c>
      <c r="F20" s="7">
        <v>2</v>
      </c>
      <c r="G20" s="4" t="s">
        <v>363</v>
      </c>
      <c r="H20" s="4" t="s">
        <v>369</v>
      </c>
      <c r="I20" s="4" t="s">
        <v>370</v>
      </c>
      <c r="J20" s="15" t="s">
        <v>93</v>
      </c>
    </row>
    <row r="21" spans="1:10" ht="48" customHeight="1">
      <c r="A21" s="10" t="s">
        <v>125</v>
      </c>
      <c r="B21" s="4" t="s">
        <v>371</v>
      </c>
      <c r="C21" s="4" t="s">
        <v>372</v>
      </c>
      <c r="D21" s="4" t="s">
        <v>373</v>
      </c>
      <c r="E21" s="4" t="s">
        <v>374</v>
      </c>
      <c r="F21" s="7">
        <v>2</v>
      </c>
      <c r="G21" s="4" t="s">
        <v>375</v>
      </c>
      <c r="H21" s="4" t="s">
        <v>376</v>
      </c>
      <c r="I21" s="4" t="s">
        <v>377</v>
      </c>
      <c r="J21" s="15" t="s">
        <v>93</v>
      </c>
    </row>
    <row r="22" spans="1:10" ht="33" customHeight="1">
      <c r="A22" s="10" t="s">
        <v>125</v>
      </c>
      <c r="B22" s="4" t="s">
        <v>378</v>
      </c>
      <c r="C22" s="4" t="s">
        <v>379</v>
      </c>
      <c r="D22" s="4" t="s">
        <v>380</v>
      </c>
      <c r="E22" s="4" t="s">
        <v>381</v>
      </c>
      <c r="F22" s="7">
        <v>1</v>
      </c>
      <c r="G22" s="4" t="s">
        <v>375</v>
      </c>
      <c r="H22" s="4" t="s">
        <v>382</v>
      </c>
      <c r="I22" s="4" t="s">
        <v>383</v>
      </c>
      <c r="J22" s="15" t="s">
        <v>93</v>
      </c>
    </row>
    <row r="23" spans="1:10" ht="33" customHeight="1">
      <c r="A23" s="10" t="s">
        <v>125</v>
      </c>
      <c r="B23" s="4" t="s">
        <v>384</v>
      </c>
      <c r="C23" s="4" t="s">
        <v>385</v>
      </c>
      <c r="D23" s="4" t="s">
        <v>386</v>
      </c>
      <c r="E23" s="4" t="s">
        <v>135</v>
      </c>
      <c r="F23" s="7">
        <v>1</v>
      </c>
      <c r="G23" s="4" t="s">
        <v>375</v>
      </c>
      <c r="H23" s="4" t="s">
        <v>260</v>
      </c>
      <c r="I23" s="4" t="s">
        <v>387</v>
      </c>
      <c r="J23" s="15" t="s">
        <v>93</v>
      </c>
    </row>
    <row r="24" spans="1:10" ht="33" customHeight="1">
      <c r="A24" s="10" t="s">
        <v>125</v>
      </c>
      <c r="B24" s="16" t="s">
        <v>388</v>
      </c>
      <c r="C24" s="16" t="s">
        <v>87</v>
      </c>
      <c r="D24" s="16" t="s">
        <v>155</v>
      </c>
      <c r="E24" s="16" t="s">
        <v>89</v>
      </c>
      <c r="F24" s="17">
        <v>2</v>
      </c>
      <c r="G24" s="16" t="s">
        <v>90</v>
      </c>
      <c r="H24" s="16" t="s">
        <v>91</v>
      </c>
      <c r="I24" s="16" t="s">
        <v>92</v>
      </c>
      <c r="J24" s="15" t="s">
        <v>93</v>
      </c>
    </row>
    <row r="25" spans="1:10" ht="33" customHeight="1">
      <c r="A25" s="11" t="s">
        <v>156</v>
      </c>
      <c r="B25" s="4" t="s">
        <v>389</v>
      </c>
      <c r="C25" s="4" t="s">
        <v>390</v>
      </c>
      <c r="D25" s="4" t="s">
        <v>391</v>
      </c>
      <c r="E25" s="4" t="s">
        <v>160</v>
      </c>
      <c r="F25" s="7">
        <v>2</v>
      </c>
      <c r="G25" s="4" t="s">
        <v>161</v>
      </c>
      <c r="H25" s="4" t="s">
        <v>281</v>
      </c>
      <c r="I25" s="4" t="s">
        <v>392</v>
      </c>
      <c r="J25" s="15" t="s">
        <v>93</v>
      </c>
    </row>
    <row r="26" spans="1:10" ht="33" customHeight="1">
      <c r="A26" s="11" t="s">
        <v>156</v>
      </c>
      <c r="B26" s="4" t="s">
        <v>393</v>
      </c>
      <c r="C26" s="4" t="s">
        <v>394</v>
      </c>
      <c r="D26" s="4" t="s">
        <v>395</v>
      </c>
      <c r="E26" s="4" t="s">
        <v>160</v>
      </c>
      <c r="F26" s="7">
        <v>3</v>
      </c>
      <c r="G26" s="4" t="s">
        <v>167</v>
      </c>
      <c r="H26" s="4" t="s">
        <v>291</v>
      </c>
      <c r="I26" s="4" t="s">
        <v>396</v>
      </c>
      <c r="J26" s="15" t="s">
        <v>93</v>
      </c>
    </row>
    <row r="27" spans="1:10" ht="33" customHeight="1">
      <c r="A27" s="11" t="s">
        <v>156</v>
      </c>
      <c r="B27" s="4" t="s">
        <v>397</v>
      </c>
      <c r="C27" s="4" t="s">
        <v>398</v>
      </c>
      <c r="D27" s="4" t="s">
        <v>399</v>
      </c>
      <c r="E27" s="4" t="s">
        <v>135</v>
      </c>
      <c r="F27" s="7">
        <v>2</v>
      </c>
      <c r="G27" s="4" t="s">
        <v>173</v>
      </c>
      <c r="H27" s="4" t="s">
        <v>400</v>
      </c>
      <c r="I27" s="4" t="s">
        <v>401</v>
      </c>
      <c r="J27" s="15" t="s">
        <v>93</v>
      </c>
    </row>
    <row r="28" spans="1:10" ht="33" customHeight="1">
      <c r="A28" s="11" t="s">
        <v>156</v>
      </c>
      <c r="B28" s="4" t="s">
        <v>402</v>
      </c>
      <c r="C28" s="4" t="s">
        <v>403</v>
      </c>
      <c r="D28" s="4" t="s">
        <v>404</v>
      </c>
      <c r="E28" s="4" t="s">
        <v>160</v>
      </c>
      <c r="F28" s="7">
        <v>3</v>
      </c>
      <c r="G28" s="4" t="s">
        <v>173</v>
      </c>
      <c r="H28" s="4" t="s">
        <v>400</v>
      </c>
      <c r="I28" s="4" t="s">
        <v>405</v>
      </c>
      <c r="J28" s="15" t="s">
        <v>93</v>
      </c>
    </row>
    <row r="29" spans="1:10" ht="33" customHeight="1">
      <c r="A29" s="11" t="s">
        <v>156</v>
      </c>
      <c r="B29" s="16" t="s">
        <v>406</v>
      </c>
      <c r="C29" s="16" t="s">
        <v>87</v>
      </c>
      <c r="D29" s="16" t="s">
        <v>190</v>
      </c>
      <c r="E29" s="16" t="s">
        <v>89</v>
      </c>
      <c r="F29" s="17">
        <v>2</v>
      </c>
      <c r="G29" s="16" t="s">
        <v>90</v>
      </c>
      <c r="H29" s="16" t="s">
        <v>91</v>
      </c>
      <c r="I29" s="16" t="s">
        <v>92</v>
      </c>
      <c r="J29" s="15" t="s">
        <v>93</v>
      </c>
    </row>
    <row r="30" spans="1:10">
      <c r="A30" s="12" t="s">
        <v>191</v>
      </c>
      <c r="B30" s="12"/>
      <c r="C30" s="12"/>
      <c r="D30" s="12"/>
      <c r="E30" s="12"/>
      <c r="F30" s="13">
        <f>SUM(F5:F29)</f>
        <v>50</v>
      </c>
      <c r="G30" s="12"/>
      <c r="H30" s="12"/>
      <c r="I30" s="12"/>
      <c r="J30" s="12"/>
    </row>
  </sheetData>
  <autoFilter ref="A4:J29"/>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sheetPr>
    <pageSetUpPr fitToPage="1"/>
  </sheetPr>
  <dimension ref="A1:J28"/>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407</v>
      </c>
    </row>
    <row r="2" spans="1:10">
      <c r="A2" s="2" t="s">
        <v>408</v>
      </c>
    </row>
    <row r="3" spans="1:10">
      <c r="A3" s="2" t="s">
        <v>409</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410</v>
      </c>
      <c r="C5" s="4" t="s">
        <v>411</v>
      </c>
      <c r="D5" s="4" t="s">
        <v>412</v>
      </c>
      <c r="E5" s="4" t="s">
        <v>324</v>
      </c>
      <c r="F5" s="7">
        <v>3</v>
      </c>
      <c r="G5" s="4" t="s">
        <v>413</v>
      </c>
      <c r="H5" s="4" t="s">
        <v>414</v>
      </c>
      <c r="I5" s="4" t="s">
        <v>415</v>
      </c>
      <c r="J5" s="14" t="s">
        <v>57</v>
      </c>
    </row>
    <row r="6" spans="1:10" ht="33" customHeight="1">
      <c r="A6" s="6" t="s">
        <v>49</v>
      </c>
      <c r="B6" s="4" t="s">
        <v>416</v>
      </c>
      <c r="C6" s="4" t="s">
        <v>417</v>
      </c>
      <c r="D6" s="4" t="s">
        <v>418</v>
      </c>
      <c r="E6" s="4" t="s">
        <v>61</v>
      </c>
      <c r="F6" s="7">
        <v>2</v>
      </c>
      <c r="G6" s="4" t="s">
        <v>109</v>
      </c>
      <c r="H6" s="4" t="s">
        <v>114</v>
      </c>
      <c r="I6" s="4" t="s">
        <v>419</v>
      </c>
      <c r="J6" s="14" t="s">
        <v>57</v>
      </c>
    </row>
    <row r="7" spans="1:10" ht="33" customHeight="1">
      <c r="A7" s="6" t="s">
        <v>49</v>
      </c>
      <c r="B7" s="4" t="s">
        <v>420</v>
      </c>
      <c r="C7" s="4" t="s">
        <v>421</v>
      </c>
      <c r="D7" s="4" t="s">
        <v>422</v>
      </c>
      <c r="E7" s="4" t="s">
        <v>61</v>
      </c>
      <c r="F7" s="7">
        <v>2</v>
      </c>
      <c r="G7" s="4" t="s">
        <v>348</v>
      </c>
      <c r="H7" s="4" t="s">
        <v>198</v>
      </c>
      <c r="I7" s="4" t="s">
        <v>423</v>
      </c>
      <c r="J7" s="14" t="s">
        <v>57</v>
      </c>
    </row>
    <row r="8" spans="1:10" ht="18" customHeight="1">
      <c r="A8" s="6" t="s">
        <v>49</v>
      </c>
      <c r="B8" s="4" t="s">
        <v>424</v>
      </c>
      <c r="C8" s="4" t="s">
        <v>351</v>
      </c>
      <c r="D8" s="4" t="s">
        <v>425</v>
      </c>
      <c r="E8" s="4" t="s">
        <v>61</v>
      </c>
      <c r="F8" s="7">
        <v>2</v>
      </c>
      <c r="G8" s="4" t="s">
        <v>413</v>
      </c>
      <c r="H8" s="4" t="s">
        <v>198</v>
      </c>
      <c r="I8" s="4" t="s">
        <v>426</v>
      </c>
      <c r="J8" s="14" t="s">
        <v>57</v>
      </c>
    </row>
    <row r="9" spans="1:10" ht="18" customHeight="1">
      <c r="A9" s="6" t="s">
        <v>49</v>
      </c>
      <c r="B9" s="4" t="s">
        <v>427</v>
      </c>
      <c r="C9" s="4" t="s">
        <v>428</v>
      </c>
      <c r="D9" s="4" t="s">
        <v>429</v>
      </c>
      <c r="E9" s="4" t="s">
        <v>61</v>
      </c>
      <c r="F9" s="7">
        <v>1</v>
      </c>
      <c r="G9" s="4" t="s">
        <v>216</v>
      </c>
      <c r="H9" s="4" t="s">
        <v>198</v>
      </c>
      <c r="I9" s="4" t="s">
        <v>430</v>
      </c>
      <c r="J9" s="14" t="s">
        <v>57</v>
      </c>
    </row>
    <row r="10" spans="1:10" ht="33" customHeight="1">
      <c r="A10" s="6" t="s">
        <v>49</v>
      </c>
      <c r="B10" s="16" t="s">
        <v>431</v>
      </c>
      <c r="C10" s="16" t="s">
        <v>87</v>
      </c>
      <c r="D10" s="16" t="s">
        <v>88</v>
      </c>
      <c r="E10" s="16" t="s">
        <v>89</v>
      </c>
      <c r="F10" s="17">
        <v>2</v>
      </c>
      <c r="G10" s="16" t="s">
        <v>90</v>
      </c>
      <c r="H10" s="16" t="s">
        <v>91</v>
      </c>
      <c r="I10" s="16" t="s">
        <v>92</v>
      </c>
      <c r="J10" s="15" t="s">
        <v>93</v>
      </c>
    </row>
    <row r="11" spans="1:10" ht="33" customHeight="1">
      <c r="A11" s="9" t="s">
        <v>94</v>
      </c>
      <c r="B11" s="4" t="s">
        <v>432</v>
      </c>
      <c r="C11" s="4" t="s">
        <v>433</v>
      </c>
      <c r="D11" s="4" t="s">
        <v>434</v>
      </c>
      <c r="E11" s="4" t="s">
        <v>61</v>
      </c>
      <c r="F11" s="7">
        <v>3</v>
      </c>
      <c r="G11" s="4" t="s">
        <v>413</v>
      </c>
      <c r="H11" s="4" t="s">
        <v>414</v>
      </c>
      <c r="I11" s="4" t="s">
        <v>435</v>
      </c>
      <c r="J11" s="14" t="s">
        <v>57</v>
      </c>
    </row>
    <row r="12" spans="1:10" ht="18" customHeight="1">
      <c r="A12" s="9" t="s">
        <v>94</v>
      </c>
      <c r="B12" s="4" t="s">
        <v>436</v>
      </c>
      <c r="C12" s="4" t="s">
        <v>437</v>
      </c>
      <c r="D12" s="4" t="s">
        <v>438</v>
      </c>
      <c r="E12" s="4" t="s">
        <v>61</v>
      </c>
      <c r="F12" s="7">
        <v>2</v>
      </c>
      <c r="G12" s="4" t="s">
        <v>348</v>
      </c>
      <c r="H12" s="4" t="s">
        <v>198</v>
      </c>
      <c r="I12" s="4" t="s">
        <v>439</v>
      </c>
      <c r="J12" s="14" t="s">
        <v>57</v>
      </c>
    </row>
    <row r="13" spans="1:10" ht="33" customHeight="1">
      <c r="A13" s="9" t="s">
        <v>94</v>
      </c>
      <c r="B13" s="4" t="s">
        <v>440</v>
      </c>
      <c r="C13" s="4" t="s">
        <v>441</v>
      </c>
      <c r="D13" s="4" t="s">
        <v>442</v>
      </c>
      <c r="E13" s="4" t="s">
        <v>443</v>
      </c>
      <c r="F13" s="7">
        <v>3</v>
      </c>
      <c r="G13" s="4" t="s">
        <v>109</v>
      </c>
      <c r="H13" s="4" t="s">
        <v>114</v>
      </c>
      <c r="I13" s="4" t="s">
        <v>444</v>
      </c>
      <c r="J13" s="15" t="s">
        <v>78</v>
      </c>
    </row>
    <row r="14" spans="1:10" ht="18" customHeight="1">
      <c r="A14" s="9" t="s">
        <v>94</v>
      </c>
      <c r="B14" s="4" t="s">
        <v>445</v>
      </c>
      <c r="C14" s="4" t="s">
        <v>446</v>
      </c>
      <c r="D14" s="4" t="s">
        <v>447</v>
      </c>
      <c r="E14" s="4" t="s">
        <v>61</v>
      </c>
      <c r="F14" s="7">
        <v>1</v>
      </c>
      <c r="G14" s="4" t="s">
        <v>448</v>
      </c>
      <c r="H14" s="4" t="s">
        <v>198</v>
      </c>
      <c r="I14" s="4" t="s">
        <v>449</v>
      </c>
      <c r="J14" s="14" t="s">
        <v>57</v>
      </c>
    </row>
    <row r="15" spans="1:10" ht="33" customHeight="1">
      <c r="A15" s="9" t="s">
        <v>94</v>
      </c>
      <c r="B15" s="4" t="s">
        <v>450</v>
      </c>
      <c r="C15" s="4" t="s">
        <v>451</v>
      </c>
      <c r="D15" s="4" t="s">
        <v>452</v>
      </c>
      <c r="E15" s="4" t="s">
        <v>61</v>
      </c>
      <c r="F15" s="7">
        <v>1</v>
      </c>
      <c r="G15" s="4" t="s">
        <v>448</v>
      </c>
      <c r="H15" s="4" t="s">
        <v>217</v>
      </c>
      <c r="I15" s="4" t="s">
        <v>453</v>
      </c>
      <c r="J15" s="14" t="s">
        <v>57</v>
      </c>
    </row>
    <row r="16" spans="1:10" ht="33" customHeight="1">
      <c r="A16" s="9" t="s">
        <v>94</v>
      </c>
      <c r="B16" s="16" t="s">
        <v>454</v>
      </c>
      <c r="C16" s="16" t="s">
        <v>87</v>
      </c>
      <c r="D16" s="16" t="s">
        <v>124</v>
      </c>
      <c r="E16" s="16" t="s">
        <v>89</v>
      </c>
      <c r="F16" s="17">
        <v>2</v>
      </c>
      <c r="G16" s="16" t="s">
        <v>90</v>
      </c>
      <c r="H16" s="16" t="s">
        <v>91</v>
      </c>
      <c r="I16" s="16" t="s">
        <v>92</v>
      </c>
      <c r="J16" s="15" t="s">
        <v>93</v>
      </c>
    </row>
    <row r="17" spans="1:10" ht="33" customHeight="1">
      <c r="A17" s="10" t="s">
        <v>125</v>
      </c>
      <c r="B17" s="4" t="s">
        <v>455</v>
      </c>
      <c r="C17" s="4" t="s">
        <v>456</v>
      </c>
      <c r="D17" s="4" t="s">
        <v>457</v>
      </c>
      <c r="E17" s="4" t="s">
        <v>135</v>
      </c>
      <c r="F17" s="7">
        <v>2</v>
      </c>
      <c r="G17" s="4" t="s">
        <v>358</v>
      </c>
      <c r="H17" s="4" t="s">
        <v>260</v>
      </c>
      <c r="I17" s="4" t="s">
        <v>458</v>
      </c>
      <c r="J17" s="15" t="s">
        <v>93</v>
      </c>
    </row>
    <row r="18" spans="1:10" ht="33" customHeight="1">
      <c r="A18" s="10" t="s">
        <v>125</v>
      </c>
      <c r="B18" s="4" t="s">
        <v>459</v>
      </c>
      <c r="C18" s="4" t="s">
        <v>460</v>
      </c>
      <c r="D18" s="4" t="s">
        <v>461</v>
      </c>
      <c r="E18" s="4" t="s">
        <v>381</v>
      </c>
      <c r="F18" s="7">
        <v>2</v>
      </c>
      <c r="G18" s="4" t="s">
        <v>375</v>
      </c>
      <c r="H18" s="4" t="s">
        <v>462</v>
      </c>
      <c r="I18" s="4" t="s">
        <v>463</v>
      </c>
      <c r="J18" s="15" t="s">
        <v>93</v>
      </c>
    </row>
    <row r="19" spans="1:10" ht="33" customHeight="1">
      <c r="A19" s="10" t="s">
        <v>125</v>
      </c>
      <c r="B19" s="4" t="s">
        <v>464</v>
      </c>
      <c r="C19" s="4" t="s">
        <v>465</v>
      </c>
      <c r="D19" s="4" t="s">
        <v>466</v>
      </c>
      <c r="E19" s="4" t="s">
        <v>135</v>
      </c>
      <c r="F19" s="7">
        <v>3</v>
      </c>
      <c r="G19" s="4" t="s">
        <v>363</v>
      </c>
      <c r="H19" s="4" t="s">
        <v>467</v>
      </c>
      <c r="I19" s="4" t="s">
        <v>468</v>
      </c>
      <c r="J19" s="15" t="s">
        <v>93</v>
      </c>
    </row>
    <row r="20" spans="1:10" ht="48" customHeight="1">
      <c r="A20" s="10" t="s">
        <v>125</v>
      </c>
      <c r="B20" s="4" t="s">
        <v>469</v>
      </c>
      <c r="C20" s="4" t="s">
        <v>470</v>
      </c>
      <c r="D20" s="4" t="s">
        <v>471</v>
      </c>
      <c r="E20" s="4" t="s">
        <v>374</v>
      </c>
      <c r="F20" s="7">
        <v>2</v>
      </c>
      <c r="G20" s="4" t="s">
        <v>375</v>
      </c>
      <c r="H20" s="4" t="s">
        <v>376</v>
      </c>
      <c r="I20" s="4" t="s">
        <v>472</v>
      </c>
      <c r="J20" s="15" t="s">
        <v>93</v>
      </c>
    </row>
    <row r="21" spans="1:10" ht="33" customHeight="1">
      <c r="A21" s="10" t="s">
        <v>125</v>
      </c>
      <c r="B21" s="4" t="s">
        <v>473</v>
      </c>
      <c r="C21" s="4" t="s">
        <v>474</v>
      </c>
      <c r="D21" s="4" t="s">
        <v>475</v>
      </c>
      <c r="E21" s="4" t="s">
        <v>381</v>
      </c>
      <c r="F21" s="7">
        <v>1</v>
      </c>
      <c r="G21" s="4" t="s">
        <v>375</v>
      </c>
      <c r="H21" s="4" t="s">
        <v>476</v>
      </c>
      <c r="I21" s="4" t="s">
        <v>477</v>
      </c>
      <c r="J21" s="15" t="s">
        <v>93</v>
      </c>
    </row>
    <row r="22" spans="1:10" ht="33" customHeight="1">
      <c r="A22" s="10" t="s">
        <v>125</v>
      </c>
      <c r="B22" s="16" t="s">
        <v>478</v>
      </c>
      <c r="C22" s="16" t="s">
        <v>87</v>
      </c>
      <c r="D22" s="16" t="s">
        <v>155</v>
      </c>
      <c r="E22" s="16" t="s">
        <v>89</v>
      </c>
      <c r="F22" s="17">
        <v>2</v>
      </c>
      <c r="G22" s="16" t="s">
        <v>90</v>
      </c>
      <c r="H22" s="16" t="s">
        <v>91</v>
      </c>
      <c r="I22" s="16" t="s">
        <v>92</v>
      </c>
      <c r="J22" s="15" t="s">
        <v>93</v>
      </c>
    </row>
    <row r="23" spans="1:10" ht="33" customHeight="1">
      <c r="A23" s="11" t="s">
        <v>156</v>
      </c>
      <c r="B23" s="4" t="s">
        <v>479</v>
      </c>
      <c r="C23" s="4" t="s">
        <v>480</v>
      </c>
      <c r="D23" s="4" t="s">
        <v>481</v>
      </c>
      <c r="E23" s="4" t="s">
        <v>135</v>
      </c>
      <c r="F23" s="7">
        <v>2</v>
      </c>
      <c r="G23" s="4" t="s">
        <v>482</v>
      </c>
      <c r="H23" s="4" t="s">
        <v>483</v>
      </c>
      <c r="I23" s="4" t="s">
        <v>484</v>
      </c>
      <c r="J23" s="15" t="s">
        <v>93</v>
      </c>
    </row>
    <row r="24" spans="1:10" ht="33" customHeight="1">
      <c r="A24" s="11" t="s">
        <v>156</v>
      </c>
      <c r="B24" s="4" t="s">
        <v>485</v>
      </c>
      <c r="C24" s="4" t="s">
        <v>486</v>
      </c>
      <c r="D24" s="4" t="s">
        <v>487</v>
      </c>
      <c r="E24" s="4" t="s">
        <v>135</v>
      </c>
      <c r="F24" s="7">
        <v>2</v>
      </c>
      <c r="G24" s="4" t="s">
        <v>482</v>
      </c>
      <c r="H24" s="4" t="s">
        <v>483</v>
      </c>
      <c r="I24" s="4" t="s">
        <v>488</v>
      </c>
      <c r="J24" s="15" t="s">
        <v>93</v>
      </c>
    </row>
    <row r="25" spans="1:10" ht="33" customHeight="1">
      <c r="A25" s="11" t="s">
        <v>156</v>
      </c>
      <c r="B25" s="4" t="s">
        <v>489</v>
      </c>
      <c r="C25" s="4" t="s">
        <v>490</v>
      </c>
      <c r="D25" s="4" t="s">
        <v>491</v>
      </c>
      <c r="E25" s="4" t="s">
        <v>160</v>
      </c>
      <c r="F25" s="7">
        <v>3</v>
      </c>
      <c r="G25" s="4" t="s">
        <v>492</v>
      </c>
      <c r="H25" s="4" t="s">
        <v>483</v>
      </c>
      <c r="I25" s="4" t="s">
        <v>493</v>
      </c>
      <c r="J25" s="15" t="s">
        <v>93</v>
      </c>
    </row>
    <row r="26" spans="1:10" ht="33" customHeight="1">
      <c r="A26" s="11" t="s">
        <v>156</v>
      </c>
      <c r="B26" s="4" t="s">
        <v>494</v>
      </c>
      <c r="C26" s="4" t="s">
        <v>495</v>
      </c>
      <c r="D26" s="4" t="s">
        <v>496</v>
      </c>
      <c r="E26" s="4" t="s">
        <v>160</v>
      </c>
      <c r="F26" s="7">
        <v>3</v>
      </c>
      <c r="G26" s="4" t="s">
        <v>495</v>
      </c>
      <c r="H26" s="4" t="s">
        <v>497</v>
      </c>
      <c r="I26" s="4" t="s">
        <v>498</v>
      </c>
      <c r="J26" s="15" t="s">
        <v>93</v>
      </c>
    </row>
    <row r="27" spans="1:10" ht="33" customHeight="1">
      <c r="A27" s="11" t="s">
        <v>156</v>
      </c>
      <c r="B27" s="16" t="s">
        <v>499</v>
      </c>
      <c r="C27" s="16" t="s">
        <v>87</v>
      </c>
      <c r="D27" s="16" t="s">
        <v>190</v>
      </c>
      <c r="E27" s="16" t="s">
        <v>89</v>
      </c>
      <c r="F27" s="17">
        <v>2</v>
      </c>
      <c r="G27" s="16" t="s">
        <v>90</v>
      </c>
      <c r="H27" s="16" t="s">
        <v>91</v>
      </c>
      <c r="I27" s="16" t="s">
        <v>92</v>
      </c>
      <c r="J27" s="15" t="s">
        <v>93</v>
      </c>
    </row>
    <row r="28" spans="1:10">
      <c r="A28" s="12" t="s">
        <v>191</v>
      </c>
      <c r="B28" s="12"/>
      <c r="C28" s="12"/>
      <c r="D28" s="12"/>
      <c r="E28" s="12"/>
      <c r="F28" s="13">
        <f>SUM(F5:F27)</f>
        <v>48</v>
      </c>
      <c r="G28" s="12"/>
      <c r="H28" s="12"/>
      <c r="I28" s="12"/>
      <c r="J28" s="12"/>
    </row>
  </sheetData>
  <autoFilter ref="A4:J27"/>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sheetPr>
    <pageSetUpPr fitToPage="1"/>
  </sheetPr>
  <dimension ref="A1:J29"/>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500</v>
      </c>
    </row>
    <row r="2" spans="1:10">
      <c r="A2" s="2" t="s">
        <v>501</v>
      </c>
    </row>
    <row r="3" spans="1:10">
      <c r="A3" s="2" t="s">
        <v>502</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503</v>
      </c>
      <c r="C5" s="4" t="s">
        <v>411</v>
      </c>
      <c r="D5" s="4" t="s">
        <v>504</v>
      </c>
      <c r="E5" s="4" t="s">
        <v>324</v>
      </c>
      <c r="F5" s="7">
        <v>3</v>
      </c>
      <c r="G5" s="4" t="s">
        <v>505</v>
      </c>
      <c r="H5" s="4" t="s">
        <v>198</v>
      </c>
      <c r="I5" s="4" t="s">
        <v>506</v>
      </c>
      <c r="J5" s="14" t="s">
        <v>57</v>
      </c>
    </row>
    <row r="6" spans="1:10" ht="33" customHeight="1">
      <c r="A6" s="6" t="s">
        <v>49</v>
      </c>
      <c r="B6" s="4" t="s">
        <v>507</v>
      </c>
      <c r="C6" s="4" t="s">
        <v>508</v>
      </c>
      <c r="D6" s="4" t="s">
        <v>509</v>
      </c>
      <c r="E6" s="4" t="s">
        <v>61</v>
      </c>
      <c r="F6" s="7">
        <v>2</v>
      </c>
      <c r="G6" s="4" t="s">
        <v>510</v>
      </c>
      <c r="H6" s="4" t="s">
        <v>198</v>
      </c>
      <c r="I6" s="4" t="s">
        <v>511</v>
      </c>
      <c r="J6" s="14" t="s">
        <v>57</v>
      </c>
    </row>
    <row r="7" spans="1:10" ht="33" customHeight="1">
      <c r="A7" s="6" t="s">
        <v>49</v>
      </c>
      <c r="B7" s="4" t="s">
        <v>512</v>
      </c>
      <c r="C7" s="4" t="s">
        <v>513</v>
      </c>
      <c r="D7" s="4" t="s">
        <v>514</v>
      </c>
      <c r="E7" s="4" t="s">
        <v>61</v>
      </c>
      <c r="F7" s="7">
        <v>2</v>
      </c>
      <c r="G7" s="4" t="s">
        <v>348</v>
      </c>
      <c r="H7" s="4" t="s">
        <v>198</v>
      </c>
      <c r="I7" s="4" t="s">
        <v>515</v>
      </c>
      <c r="J7" s="14" t="s">
        <v>57</v>
      </c>
    </row>
    <row r="8" spans="1:10" ht="33" customHeight="1">
      <c r="A8" s="6" t="s">
        <v>49</v>
      </c>
      <c r="B8" s="4" t="s">
        <v>516</v>
      </c>
      <c r="C8" s="4" t="s">
        <v>517</v>
      </c>
      <c r="D8" s="4" t="s">
        <v>518</v>
      </c>
      <c r="E8" s="4" t="s">
        <v>61</v>
      </c>
      <c r="F8" s="7">
        <v>2</v>
      </c>
      <c r="G8" s="4" t="s">
        <v>505</v>
      </c>
      <c r="H8" s="4" t="s">
        <v>198</v>
      </c>
      <c r="I8" s="4" t="s">
        <v>519</v>
      </c>
      <c r="J8" s="14" t="s">
        <v>57</v>
      </c>
    </row>
    <row r="9" spans="1:10" ht="33" customHeight="1">
      <c r="A9" s="6" t="s">
        <v>49</v>
      </c>
      <c r="B9" s="4" t="s">
        <v>520</v>
      </c>
      <c r="C9" s="4" t="s">
        <v>521</v>
      </c>
      <c r="D9" s="4" t="s">
        <v>522</v>
      </c>
      <c r="E9" s="4" t="s">
        <v>119</v>
      </c>
      <c r="F9" s="7">
        <v>1</v>
      </c>
      <c r="G9" s="4" t="s">
        <v>120</v>
      </c>
      <c r="H9" s="4" t="s">
        <v>198</v>
      </c>
      <c r="I9" s="4" t="s">
        <v>523</v>
      </c>
      <c r="J9" s="14" t="s">
        <v>57</v>
      </c>
    </row>
    <row r="10" spans="1:10" ht="33" customHeight="1">
      <c r="A10" s="6" t="s">
        <v>49</v>
      </c>
      <c r="B10" s="16" t="s">
        <v>524</v>
      </c>
      <c r="C10" s="16" t="s">
        <v>87</v>
      </c>
      <c r="D10" s="16" t="s">
        <v>88</v>
      </c>
      <c r="E10" s="16" t="s">
        <v>89</v>
      </c>
      <c r="F10" s="17">
        <v>2</v>
      </c>
      <c r="G10" s="16" t="s">
        <v>90</v>
      </c>
      <c r="H10" s="16" t="s">
        <v>91</v>
      </c>
      <c r="I10" s="16" t="s">
        <v>92</v>
      </c>
      <c r="J10" s="15" t="s">
        <v>93</v>
      </c>
    </row>
    <row r="11" spans="1:10" ht="33" customHeight="1">
      <c r="A11" s="9" t="s">
        <v>94</v>
      </c>
      <c r="B11" s="4" t="s">
        <v>525</v>
      </c>
      <c r="C11" s="4" t="s">
        <v>526</v>
      </c>
      <c r="D11" s="4" t="s">
        <v>527</v>
      </c>
      <c r="E11" s="4" t="s">
        <v>61</v>
      </c>
      <c r="F11" s="7">
        <v>3</v>
      </c>
      <c r="G11" s="4" t="s">
        <v>217</v>
      </c>
      <c r="H11" s="4" t="s">
        <v>198</v>
      </c>
      <c r="I11" s="4" t="s">
        <v>528</v>
      </c>
      <c r="J11" s="14" t="s">
        <v>57</v>
      </c>
    </row>
    <row r="12" spans="1:10" ht="18" customHeight="1">
      <c r="A12" s="9" t="s">
        <v>94</v>
      </c>
      <c r="B12" s="4" t="s">
        <v>529</v>
      </c>
      <c r="C12" s="4" t="s">
        <v>530</v>
      </c>
      <c r="D12" s="4" t="s">
        <v>531</v>
      </c>
      <c r="E12" s="4" t="s">
        <v>61</v>
      </c>
      <c r="F12" s="7">
        <v>3</v>
      </c>
      <c r="G12" s="4" t="s">
        <v>348</v>
      </c>
      <c r="H12" s="4" t="s">
        <v>198</v>
      </c>
      <c r="I12" s="4" t="s">
        <v>532</v>
      </c>
      <c r="J12" s="14" t="s">
        <v>57</v>
      </c>
    </row>
    <row r="13" spans="1:10" ht="33" customHeight="1">
      <c r="A13" s="9" t="s">
        <v>94</v>
      </c>
      <c r="B13" s="4" t="s">
        <v>533</v>
      </c>
      <c r="C13" s="4" t="s">
        <v>534</v>
      </c>
      <c r="D13" s="4" t="s">
        <v>535</v>
      </c>
      <c r="E13" s="4" t="s">
        <v>381</v>
      </c>
      <c r="F13" s="7">
        <v>2</v>
      </c>
      <c r="G13" s="4" t="s">
        <v>120</v>
      </c>
      <c r="H13" s="4" t="s">
        <v>198</v>
      </c>
      <c r="I13" s="4" t="s">
        <v>536</v>
      </c>
      <c r="J13" s="15" t="s">
        <v>93</v>
      </c>
    </row>
    <row r="14" spans="1:10" ht="18" customHeight="1">
      <c r="A14" s="9" t="s">
        <v>94</v>
      </c>
      <c r="B14" s="4" t="s">
        <v>537</v>
      </c>
      <c r="C14" s="4" t="s">
        <v>538</v>
      </c>
      <c r="D14" s="4" t="s">
        <v>539</v>
      </c>
      <c r="E14" s="4" t="s">
        <v>61</v>
      </c>
      <c r="F14" s="7">
        <v>1</v>
      </c>
      <c r="G14" s="4" t="s">
        <v>217</v>
      </c>
      <c r="H14" s="4" t="s">
        <v>198</v>
      </c>
      <c r="I14" s="4" t="s">
        <v>540</v>
      </c>
      <c r="J14" s="14" t="s">
        <v>57</v>
      </c>
    </row>
    <row r="15" spans="1:10" ht="33" customHeight="1">
      <c r="A15" s="9" t="s">
        <v>94</v>
      </c>
      <c r="B15" s="4" t="s">
        <v>541</v>
      </c>
      <c r="C15" s="4" t="s">
        <v>542</v>
      </c>
      <c r="D15" s="4" t="s">
        <v>543</v>
      </c>
      <c r="E15" s="4" t="s">
        <v>61</v>
      </c>
      <c r="F15" s="7">
        <v>1</v>
      </c>
      <c r="G15" s="4" t="s">
        <v>217</v>
      </c>
      <c r="H15" s="4" t="s">
        <v>217</v>
      </c>
      <c r="I15" s="4" t="s">
        <v>544</v>
      </c>
      <c r="J15" s="14" t="s">
        <v>57</v>
      </c>
    </row>
    <row r="16" spans="1:10" ht="33" customHeight="1">
      <c r="A16" s="9" t="s">
        <v>94</v>
      </c>
      <c r="B16" s="16" t="s">
        <v>545</v>
      </c>
      <c r="C16" s="16" t="s">
        <v>87</v>
      </c>
      <c r="D16" s="16" t="s">
        <v>124</v>
      </c>
      <c r="E16" s="16" t="s">
        <v>89</v>
      </c>
      <c r="F16" s="17">
        <v>2</v>
      </c>
      <c r="G16" s="16" t="s">
        <v>90</v>
      </c>
      <c r="H16" s="16" t="s">
        <v>91</v>
      </c>
      <c r="I16" s="16" t="s">
        <v>92</v>
      </c>
      <c r="J16" s="15" t="s">
        <v>93</v>
      </c>
    </row>
    <row r="17" spans="1:10" ht="33" customHeight="1">
      <c r="A17" s="10" t="s">
        <v>125</v>
      </c>
      <c r="B17" s="4" t="s">
        <v>546</v>
      </c>
      <c r="C17" s="4" t="s">
        <v>547</v>
      </c>
      <c r="D17" s="4" t="s">
        <v>548</v>
      </c>
      <c r="E17" s="4" t="s">
        <v>135</v>
      </c>
      <c r="F17" s="7">
        <v>2</v>
      </c>
      <c r="G17" s="4" t="s">
        <v>549</v>
      </c>
      <c r="H17" s="4" t="s">
        <v>260</v>
      </c>
      <c r="I17" s="4" t="s">
        <v>550</v>
      </c>
      <c r="J17" s="15" t="s">
        <v>93</v>
      </c>
    </row>
    <row r="18" spans="1:10" ht="33" customHeight="1">
      <c r="A18" s="10" t="s">
        <v>125</v>
      </c>
      <c r="B18" s="4" t="s">
        <v>551</v>
      </c>
      <c r="C18" s="4" t="s">
        <v>552</v>
      </c>
      <c r="D18" s="4" t="s">
        <v>553</v>
      </c>
      <c r="E18" s="4" t="s">
        <v>135</v>
      </c>
      <c r="F18" s="7">
        <v>3</v>
      </c>
      <c r="G18" s="4" t="s">
        <v>549</v>
      </c>
      <c r="H18" s="4" t="s">
        <v>554</v>
      </c>
      <c r="I18" s="4" t="s">
        <v>555</v>
      </c>
      <c r="J18" s="15" t="s">
        <v>93</v>
      </c>
    </row>
    <row r="19" spans="1:10" ht="33" customHeight="1">
      <c r="A19" s="10" t="s">
        <v>125</v>
      </c>
      <c r="B19" s="4" t="s">
        <v>556</v>
      </c>
      <c r="C19" s="4" t="s">
        <v>557</v>
      </c>
      <c r="D19" s="4" t="s">
        <v>558</v>
      </c>
      <c r="E19" s="4" t="s">
        <v>135</v>
      </c>
      <c r="F19" s="7">
        <v>1</v>
      </c>
      <c r="G19" s="4" t="s">
        <v>549</v>
      </c>
      <c r="H19" s="4" t="s">
        <v>260</v>
      </c>
      <c r="I19" s="4" t="s">
        <v>559</v>
      </c>
      <c r="J19" s="15" t="s">
        <v>93</v>
      </c>
    </row>
    <row r="20" spans="1:10" ht="33" customHeight="1">
      <c r="A20" s="10" t="s">
        <v>125</v>
      </c>
      <c r="B20" s="4" t="s">
        <v>560</v>
      </c>
      <c r="C20" s="4" t="s">
        <v>561</v>
      </c>
      <c r="D20" s="4" t="s">
        <v>562</v>
      </c>
      <c r="E20" s="4" t="s">
        <v>135</v>
      </c>
      <c r="F20" s="7">
        <v>2</v>
      </c>
      <c r="G20" s="4" t="s">
        <v>563</v>
      </c>
      <c r="H20" s="4" t="s">
        <v>554</v>
      </c>
      <c r="I20" s="4" t="s">
        <v>564</v>
      </c>
      <c r="J20" s="15" t="s">
        <v>93</v>
      </c>
    </row>
    <row r="21" spans="1:10" ht="33" customHeight="1">
      <c r="A21" s="10" t="s">
        <v>125</v>
      </c>
      <c r="B21" s="4" t="s">
        <v>565</v>
      </c>
      <c r="C21" s="4" t="s">
        <v>566</v>
      </c>
      <c r="D21" s="4" t="s">
        <v>567</v>
      </c>
      <c r="E21" s="4" t="s">
        <v>135</v>
      </c>
      <c r="F21" s="7">
        <v>3</v>
      </c>
      <c r="G21" s="4" t="s">
        <v>563</v>
      </c>
      <c r="H21" s="4" t="s">
        <v>568</v>
      </c>
      <c r="I21" s="4" t="s">
        <v>569</v>
      </c>
      <c r="J21" s="15" t="s">
        <v>93</v>
      </c>
    </row>
    <row r="22" spans="1:10" ht="33" customHeight="1">
      <c r="A22" s="10" t="s">
        <v>125</v>
      </c>
      <c r="B22" s="4" t="s">
        <v>570</v>
      </c>
      <c r="C22" s="4" t="s">
        <v>571</v>
      </c>
      <c r="D22" s="4" t="s">
        <v>572</v>
      </c>
      <c r="E22" s="4" t="s">
        <v>381</v>
      </c>
      <c r="F22" s="7">
        <v>1</v>
      </c>
      <c r="G22" s="4" t="s">
        <v>274</v>
      </c>
      <c r="H22" s="4" t="s">
        <v>573</v>
      </c>
      <c r="I22" s="4" t="s">
        <v>574</v>
      </c>
      <c r="J22" s="15" t="s">
        <v>93</v>
      </c>
    </row>
    <row r="23" spans="1:10" ht="33" customHeight="1">
      <c r="A23" s="10" t="s">
        <v>125</v>
      </c>
      <c r="B23" s="16" t="s">
        <v>575</v>
      </c>
      <c r="C23" s="16" t="s">
        <v>87</v>
      </c>
      <c r="D23" s="16" t="s">
        <v>155</v>
      </c>
      <c r="E23" s="16" t="s">
        <v>89</v>
      </c>
      <c r="F23" s="17">
        <v>2</v>
      </c>
      <c r="G23" s="16" t="s">
        <v>90</v>
      </c>
      <c r="H23" s="16" t="s">
        <v>91</v>
      </c>
      <c r="I23" s="16" t="s">
        <v>92</v>
      </c>
      <c r="J23" s="15" t="s">
        <v>93</v>
      </c>
    </row>
    <row r="24" spans="1:10" ht="33" customHeight="1">
      <c r="A24" s="11" t="s">
        <v>156</v>
      </c>
      <c r="B24" s="4" t="s">
        <v>576</v>
      </c>
      <c r="C24" s="4" t="s">
        <v>577</v>
      </c>
      <c r="D24" s="4" t="s">
        <v>578</v>
      </c>
      <c r="E24" s="4" t="s">
        <v>135</v>
      </c>
      <c r="F24" s="7">
        <v>2</v>
      </c>
      <c r="G24" s="4" t="s">
        <v>482</v>
      </c>
      <c r="H24" s="4" t="s">
        <v>579</v>
      </c>
      <c r="I24" s="4" t="s">
        <v>580</v>
      </c>
      <c r="J24" s="15" t="s">
        <v>93</v>
      </c>
    </row>
    <row r="25" spans="1:10" ht="33" customHeight="1">
      <c r="A25" s="11" t="s">
        <v>156</v>
      </c>
      <c r="B25" s="4" t="s">
        <v>581</v>
      </c>
      <c r="C25" s="4" t="s">
        <v>582</v>
      </c>
      <c r="D25" s="4" t="s">
        <v>583</v>
      </c>
      <c r="E25" s="4" t="s">
        <v>135</v>
      </c>
      <c r="F25" s="7">
        <v>2</v>
      </c>
      <c r="G25" s="4" t="s">
        <v>482</v>
      </c>
      <c r="H25" s="4" t="s">
        <v>579</v>
      </c>
      <c r="I25" s="4" t="s">
        <v>584</v>
      </c>
      <c r="J25" s="15" t="s">
        <v>93</v>
      </c>
    </row>
    <row r="26" spans="1:10" ht="33" customHeight="1">
      <c r="A26" s="11" t="s">
        <v>156</v>
      </c>
      <c r="B26" s="4" t="s">
        <v>585</v>
      </c>
      <c r="C26" s="4" t="s">
        <v>586</v>
      </c>
      <c r="D26" s="4" t="s">
        <v>587</v>
      </c>
      <c r="E26" s="4" t="s">
        <v>160</v>
      </c>
      <c r="F26" s="7">
        <v>3</v>
      </c>
      <c r="G26" s="4" t="s">
        <v>588</v>
      </c>
      <c r="H26" s="4" t="s">
        <v>579</v>
      </c>
      <c r="I26" s="4" t="s">
        <v>589</v>
      </c>
      <c r="J26" s="15" t="s">
        <v>93</v>
      </c>
    </row>
    <row r="27" spans="1:10" ht="33" customHeight="1">
      <c r="A27" s="11" t="s">
        <v>156</v>
      </c>
      <c r="B27" s="4" t="s">
        <v>590</v>
      </c>
      <c r="C27" s="4" t="s">
        <v>591</v>
      </c>
      <c r="D27" s="4" t="s">
        <v>592</v>
      </c>
      <c r="E27" s="4" t="s">
        <v>160</v>
      </c>
      <c r="F27" s="7">
        <v>3</v>
      </c>
      <c r="G27" s="4" t="s">
        <v>593</v>
      </c>
      <c r="H27" s="4" t="s">
        <v>162</v>
      </c>
      <c r="I27" s="4" t="s">
        <v>594</v>
      </c>
      <c r="J27" s="15" t="s">
        <v>93</v>
      </c>
    </row>
    <row r="28" spans="1:10" ht="33" customHeight="1">
      <c r="A28" s="11" t="s">
        <v>156</v>
      </c>
      <c r="B28" s="16" t="s">
        <v>595</v>
      </c>
      <c r="C28" s="16" t="s">
        <v>87</v>
      </c>
      <c r="D28" s="16" t="s">
        <v>190</v>
      </c>
      <c r="E28" s="16" t="s">
        <v>89</v>
      </c>
      <c r="F28" s="17">
        <v>2</v>
      </c>
      <c r="G28" s="16" t="s">
        <v>90</v>
      </c>
      <c r="H28" s="16" t="s">
        <v>91</v>
      </c>
      <c r="I28" s="16" t="s">
        <v>92</v>
      </c>
      <c r="J28" s="15" t="s">
        <v>93</v>
      </c>
    </row>
    <row r="29" spans="1:10">
      <c r="A29" s="12" t="s">
        <v>191</v>
      </c>
      <c r="B29" s="12"/>
      <c r="C29" s="12"/>
      <c r="D29" s="12"/>
      <c r="E29" s="12"/>
      <c r="F29" s="13">
        <f>SUM(F5:F28)</f>
        <v>50</v>
      </c>
      <c r="G29" s="12"/>
      <c r="H29" s="12"/>
      <c r="I29" s="12"/>
      <c r="J29" s="12"/>
    </row>
  </sheetData>
  <autoFilter ref="A4:J28"/>
  <pageMargins left="0.7" right="0.7" top="0.75" bottom="0.75" header="0.3" footer="0.3"/>
  <pageSetup paperSize="9" fitToHeight="0" orientation="landscape"/>
</worksheet>
</file>

<file path=xl/worksheets/sheet8.xml><?xml version="1.0" encoding="utf-8"?>
<worksheet xmlns="http://schemas.openxmlformats.org/spreadsheetml/2006/main" xmlns:r="http://schemas.openxmlformats.org/officeDocument/2006/relationships">
  <sheetPr>
    <pageSetUpPr fitToPage="1"/>
  </sheetPr>
  <dimension ref="A1:J22"/>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customWidth="1"/>
    <col min="2" max="2" width="11.7109375" customWidth="1"/>
    <col min="3" max="3" width="30.7109375" customWidth="1"/>
    <col min="4" max="4" width="34.7109375" customWidth="1"/>
    <col min="5" max="5" width="20.7109375" customWidth="1"/>
    <col min="6" max="6" width="7.7109375" customWidth="1"/>
    <col min="7" max="7" width="18.7109375" customWidth="1"/>
    <col min="8" max="8" width="23.7109375" customWidth="1"/>
    <col min="9" max="9" width="38.7109375" customWidth="1"/>
    <col min="10" max="10" width="16.7109375" customWidth="1"/>
  </cols>
  <sheetData>
    <row r="1" spans="1:10">
      <c r="A1" s="1" t="s">
        <v>596</v>
      </c>
    </row>
    <row r="2" spans="1:10">
      <c r="A2" s="2" t="s">
        <v>597</v>
      </c>
    </row>
    <row r="3" spans="1:10">
      <c r="A3" s="2" t="s">
        <v>598</v>
      </c>
    </row>
    <row r="4" spans="1:10" ht="30" customHeight="1">
      <c r="A4" s="5" t="s">
        <v>10</v>
      </c>
      <c r="B4" s="5" t="s">
        <v>12</v>
      </c>
      <c r="C4" s="5" t="s">
        <v>14</v>
      </c>
      <c r="D4" s="5" t="s">
        <v>16</v>
      </c>
      <c r="E4" s="5" t="s">
        <v>18</v>
      </c>
      <c r="F4" s="5" t="s">
        <v>20</v>
      </c>
      <c r="G4" s="5" t="s">
        <v>22</v>
      </c>
      <c r="H4" s="5" t="s">
        <v>24</v>
      </c>
      <c r="I4" s="5" t="s">
        <v>26</v>
      </c>
      <c r="J4" s="5" t="s">
        <v>28</v>
      </c>
    </row>
    <row r="5" spans="1:10" ht="33" customHeight="1">
      <c r="A5" s="6" t="s">
        <v>49</v>
      </c>
      <c r="B5" s="4" t="s">
        <v>599</v>
      </c>
      <c r="C5" s="4" t="s">
        <v>600</v>
      </c>
      <c r="D5" s="4" t="s">
        <v>601</v>
      </c>
      <c r="E5" s="4" t="s">
        <v>119</v>
      </c>
      <c r="F5" s="7">
        <v>3</v>
      </c>
      <c r="G5" s="4" t="s">
        <v>602</v>
      </c>
      <c r="H5" s="4" t="s">
        <v>603</v>
      </c>
      <c r="I5" s="4" t="s">
        <v>604</v>
      </c>
      <c r="J5" s="14" t="s">
        <v>57</v>
      </c>
    </row>
    <row r="6" spans="1:10" ht="33" customHeight="1">
      <c r="A6" s="6" t="s">
        <v>49</v>
      </c>
      <c r="B6" s="4" t="s">
        <v>605</v>
      </c>
      <c r="C6" s="4" t="s">
        <v>606</v>
      </c>
      <c r="D6" s="4" t="s">
        <v>607</v>
      </c>
      <c r="E6" s="4" t="s">
        <v>61</v>
      </c>
      <c r="F6" s="7">
        <v>2</v>
      </c>
      <c r="G6" s="4" t="s">
        <v>602</v>
      </c>
      <c r="H6" s="4" t="s">
        <v>603</v>
      </c>
      <c r="I6" s="4" t="s">
        <v>608</v>
      </c>
      <c r="J6" s="14" t="s">
        <v>57</v>
      </c>
    </row>
    <row r="7" spans="1:10" ht="33" customHeight="1">
      <c r="A7" s="6" t="s">
        <v>49</v>
      </c>
      <c r="B7" s="4" t="s">
        <v>609</v>
      </c>
      <c r="C7" s="4" t="s">
        <v>610</v>
      </c>
      <c r="D7" s="4" t="s">
        <v>611</v>
      </c>
      <c r="E7" s="4" t="s">
        <v>61</v>
      </c>
      <c r="F7" s="7">
        <v>2</v>
      </c>
      <c r="G7" s="4" t="s">
        <v>602</v>
      </c>
      <c r="H7" s="4" t="s">
        <v>603</v>
      </c>
      <c r="I7" s="4" t="s">
        <v>612</v>
      </c>
      <c r="J7" s="14" t="s">
        <v>57</v>
      </c>
    </row>
    <row r="8" spans="1:10" ht="18" customHeight="1">
      <c r="A8" s="6" t="s">
        <v>49</v>
      </c>
      <c r="B8" s="4" t="s">
        <v>613</v>
      </c>
      <c r="C8" s="4" t="s">
        <v>614</v>
      </c>
      <c r="D8" s="4" t="s">
        <v>615</v>
      </c>
      <c r="E8" s="4" t="s">
        <v>61</v>
      </c>
      <c r="F8" s="7">
        <v>1</v>
      </c>
      <c r="G8" s="4" t="s">
        <v>602</v>
      </c>
      <c r="H8" s="4" t="s">
        <v>603</v>
      </c>
      <c r="I8" s="4" t="s">
        <v>616</v>
      </c>
      <c r="J8" s="14" t="s">
        <v>57</v>
      </c>
    </row>
    <row r="9" spans="1:10" ht="33" customHeight="1">
      <c r="A9" s="6" t="s">
        <v>49</v>
      </c>
      <c r="B9" s="16" t="s">
        <v>617</v>
      </c>
      <c r="C9" s="16" t="s">
        <v>87</v>
      </c>
      <c r="D9" s="16" t="s">
        <v>88</v>
      </c>
      <c r="E9" s="16" t="s">
        <v>89</v>
      </c>
      <c r="F9" s="17">
        <v>2</v>
      </c>
      <c r="G9" s="16" t="s">
        <v>90</v>
      </c>
      <c r="H9" s="16" t="s">
        <v>91</v>
      </c>
      <c r="I9" s="16" t="s">
        <v>92</v>
      </c>
      <c r="J9" s="15" t="s">
        <v>93</v>
      </c>
    </row>
    <row r="10" spans="1:10" ht="33" customHeight="1">
      <c r="A10" s="9" t="s">
        <v>94</v>
      </c>
      <c r="B10" s="4" t="s">
        <v>618</v>
      </c>
      <c r="C10" s="4" t="s">
        <v>619</v>
      </c>
      <c r="D10" s="4" t="s">
        <v>620</v>
      </c>
      <c r="E10" s="4" t="s">
        <v>61</v>
      </c>
      <c r="F10" s="7">
        <v>3</v>
      </c>
      <c r="G10" s="4" t="s">
        <v>358</v>
      </c>
      <c r="H10" s="4" t="s">
        <v>621</v>
      </c>
      <c r="I10" s="4" t="s">
        <v>622</v>
      </c>
      <c r="J10" s="14" t="s">
        <v>57</v>
      </c>
    </row>
    <row r="11" spans="1:10" ht="33" customHeight="1">
      <c r="A11" s="9" t="s">
        <v>94</v>
      </c>
      <c r="B11" s="4" t="s">
        <v>623</v>
      </c>
      <c r="C11" s="4" t="s">
        <v>624</v>
      </c>
      <c r="D11" s="4" t="s">
        <v>625</v>
      </c>
      <c r="E11" s="4" t="s">
        <v>332</v>
      </c>
      <c r="F11" s="7">
        <v>3</v>
      </c>
      <c r="G11" s="4" t="s">
        <v>358</v>
      </c>
      <c r="H11" s="4" t="s">
        <v>621</v>
      </c>
      <c r="I11" s="4" t="s">
        <v>626</v>
      </c>
      <c r="J11" s="14" t="s">
        <v>57</v>
      </c>
    </row>
    <row r="12" spans="1:10" ht="33" customHeight="1">
      <c r="A12" s="9" t="s">
        <v>94</v>
      </c>
      <c r="B12" s="4" t="s">
        <v>627</v>
      </c>
      <c r="C12" s="4" t="s">
        <v>628</v>
      </c>
      <c r="D12" s="4" t="s">
        <v>629</v>
      </c>
      <c r="E12" s="4" t="s">
        <v>61</v>
      </c>
      <c r="F12" s="7">
        <v>2</v>
      </c>
      <c r="G12" s="4" t="s">
        <v>358</v>
      </c>
      <c r="H12" s="4" t="s">
        <v>621</v>
      </c>
      <c r="I12" s="4" t="s">
        <v>630</v>
      </c>
      <c r="J12" s="14" t="s">
        <v>57</v>
      </c>
    </row>
    <row r="13" spans="1:10" ht="33" customHeight="1">
      <c r="A13" s="9" t="s">
        <v>94</v>
      </c>
      <c r="B13" s="16" t="s">
        <v>631</v>
      </c>
      <c r="C13" s="16" t="s">
        <v>87</v>
      </c>
      <c r="D13" s="16" t="s">
        <v>124</v>
      </c>
      <c r="E13" s="16" t="s">
        <v>89</v>
      </c>
      <c r="F13" s="17">
        <v>2</v>
      </c>
      <c r="G13" s="16" t="s">
        <v>90</v>
      </c>
      <c r="H13" s="16" t="s">
        <v>91</v>
      </c>
      <c r="I13" s="16" t="s">
        <v>92</v>
      </c>
      <c r="J13" s="15" t="s">
        <v>93</v>
      </c>
    </row>
    <row r="14" spans="1:10" ht="33" customHeight="1">
      <c r="A14" s="10" t="s">
        <v>125</v>
      </c>
      <c r="B14" s="4" t="s">
        <v>632</v>
      </c>
      <c r="C14" s="4" t="s">
        <v>633</v>
      </c>
      <c r="D14" s="4" t="s">
        <v>634</v>
      </c>
      <c r="E14" s="4" t="s">
        <v>135</v>
      </c>
      <c r="F14" s="7">
        <v>3</v>
      </c>
      <c r="G14" s="4" t="s">
        <v>635</v>
      </c>
      <c r="H14" s="4" t="s">
        <v>636</v>
      </c>
      <c r="I14" s="4" t="s">
        <v>637</v>
      </c>
      <c r="J14" s="15" t="s">
        <v>93</v>
      </c>
    </row>
    <row r="15" spans="1:10" ht="33" customHeight="1">
      <c r="A15" s="10" t="s">
        <v>125</v>
      </c>
      <c r="B15" s="4" t="s">
        <v>638</v>
      </c>
      <c r="C15" s="4" t="s">
        <v>639</v>
      </c>
      <c r="D15" s="4" t="s">
        <v>640</v>
      </c>
      <c r="E15" s="4" t="s">
        <v>135</v>
      </c>
      <c r="F15" s="7">
        <v>3</v>
      </c>
      <c r="G15" s="4" t="s">
        <v>641</v>
      </c>
      <c r="H15" s="4" t="s">
        <v>636</v>
      </c>
      <c r="I15" s="4" t="s">
        <v>642</v>
      </c>
      <c r="J15" s="15" t="s">
        <v>93</v>
      </c>
    </row>
    <row r="16" spans="1:10" ht="33" customHeight="1">
      <c r="A16" s="10" t="s">
        <v>125</v>
      </c>
      <c r="B16" s="4" t="s">
        <v>643</v>
      </c>
      <c r="C16" s="4" t="s">
        <v>644</v>
      </c>
      <c r="D16" s="4" t="s">
        <v>645</v>
      </c>
      <c r="E16" s="4" t="s">
        <v>135</v>
      </c>
      <c r="F16" s="7">
        <v>2</v>
      </c>
      <c r="G16" s="4" t="s">
        <v>641</v>
      </c>
      <c r="H16" s="4" t="s">
        <v>636</v>
      </c>
      <c r="I16" s="4" t="s">
        <v>646</v>
      </c>
      <c r="J16" s="15" t="s">
        <v>93</v>
      </c>
    </row>
    <row r="17" spans="1:10" ht="33" customHeight="1">
      <c r="A17" s="10" t="s">
        <v>125</v>
      </c>
      <c r="B17" s="16" t="s">
        <v>647</v>
      </c>
      <c r="C17" s="16" t="s">
        <v>87</v>
      </c>
      <c r="D17" s="16" t="s">
        <v>155</v>
      </c>
      <c r="E17" s="16" t="s">
        <v>89</v>
      </c>
      <c r="F17" s="17">
        <v>2</v>
      </c>
      <c r="G17" s="16" t="s">
        <v>90</v>
      </c>
      <c r="H17" s="16" t="s">
        <v>91</v>
      </c>
      <c r="I17" s="16" t="s">
        <v>92</v>
      </c>
      <c r="J17" s="15" t="s">
        <v>93</v>
      </c>
    </row>
    <row r="18" spans="1:10" ht="33" customHeight="1">
      <c r="A18" s="11" t="s">
        <v>156</v>
      </c>
      <c r="B18" s="4" t="s">
        <v>648</v>
      </c>
      <c r="C18" s="4" t="s">
        <v>649</v>
      </c>
      <c r="D18" s="4" t="s">
        <v>650</v>
      </c>
      <c r="E18" s="4" t="s">
        <v>160</v>
      </c>
      <c r="F18" s="7">
        <v>3</v>
      </c>
      <c r="G18" s="4" t="s">
        <v>161</v>
      </c>
      <c r="H18" s="4" t="s">
        <v>636</v>
      </c>
      <c r="I18" s="4" t="s">
        <v>651</v>
      </c>
      <c r="J18" s="15" t="s">
        <v>93</v>
      </c>
    </row>
    <row r="19" spans="1:10" ht="33" customHeight="1">
      <c r="A19" s="11" t="s">
        <v>156</v>
      </c>
      <c r="B19" s="4" t="s">
        <v>652</v>
      </c>
      <c r="C19" s="4" t="s">
        <v>653</v>
      </c>
      <c r="D19" s="4" t="s">
        <v>654</v>
      </c>
      <c r="E19" s="4" t="s">
        <v>160</v>
      </c>
      <c r="F19" s="7">
        <v>3</v>
      </c>
      <c r="G19" s="4" t="s">
        <v>167</v>
      </c>
      <c r="H19" s="4" t="s">
        <v>636</v>
      </c>
      <c r="I19" s="4" t="s">
        <v>655</v>
      </c>
      <c r="J19" s="15" t="s">
        <v>93</v>
      </c>
    </row>
    <row r="20" spans="1:10" ht="33" customHeight="1">
      <c r="A20" s="11" t="s">
        <v>156</v>
      </c>
      <c r="B20" s="4" t="s">
        <v>656</v>
      </c>
      <c r="C20" s="4" t="s">
        <v>657</v>
      </c>
      <c r="D20" s="4" t="s">
        <v>658</v>
      </c>
      <c r="E20" s="4" t="s">
        <v>160</v>
      </c>
      <c r="F20" s="7">
        <v>2</v>
      </c>
      <c r="G20" s="4" t="s">
        <v>173</v>
      </c>
      <c r="H20" s="4" t="s">
        <v>636</v>
      </c>
      <c r="I20" s="4" t="s">
        <v>659</v>
      </c>
      <c r="J20" s="15" t="s">
        <v>93</v>
      </c>
    </row>
    <row r="21" spans="1:10" ht="33" customHeight="1">
      <c r="A21" s="11" t="s">
        <v>156</v>
      </c>
      <c r="B21" s="16" t="s">
        <v>660</v>
      </c>
      <c r="C21" s="16" t="s">
        <v>87</v>
      </c>
      <c r="D21" s="16" t="s">
        <v>190</v>
      </c>
      <c r="E21" s="16" t="s">
        <v>89</v>
      </c>
      <c r="F21" s="17">
        <v>2</v>
      </c>
      <c r="G21" s="16" t="s">
        <v>90</v>
      </c>
      <c r="H21" s="16" t="s">
        <v>91</v>
      </c>
      <c r="I21" s="16" t="s">
        <v>92</v>
      </c>
      <c r="J21" s="15" t="s">
        <v>93</v>
      </c>
    </row>
    <row r="22" spans="1:10">
      <c r="A22" s="12" t="s">
        <v>191</v>
      </c>
      <c r="B22" s="12"/>
      <c r="C22" s="12"/>
      <c r="D22" s="12"/>
      <c r="E22" s="12"/>
      <c r="F22" s="13">
        <f>SUM(F5:F21)</f>
        <v>40</v>
      </c>
      <c r="G22" s="12"/>
      <c r="H22" s="12"/>
      <c r="I22" s="12"/>
      <c r="J22" s="12"/>
    </row>
  </sheetData>
  <autoFilter ref="A4:J21"/>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Đọc trước</vt:lpstr>
      <vt:lpstr>Tổng quan</vt:lpstr>
      <vt:lpstr>A1</vt:lpstr>
      <vt:lpstr>A2</vt:lpstr>
      <vt:lpstr>B1</vt:lpstr>
      <vt:lpstr>B2</vt:lpstr>
      <vt:lpstr>C1</vt:lpstr>
      <vt:lpstr>C2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Kỹ năng luyện thi DELF DALF</dc:title>
  <dc:creator>FRACILE</dc:creator>
  <cp:lastModifiedBy>FRACILE</cp:lastModifiedBy>
  <dcterms:created xsi:type="dcterms:W3CDTF">2026-10-31T14:09:50Z</dcterms:created>
  <dcterms:modified xsi:type="dcterms:W3CDTF">2026-10-31T14:09:50Z</dcterms:modified>
</cp:coreProperties>
</file>