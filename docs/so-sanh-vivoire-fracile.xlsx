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state="visible" r:id="rId4"/>
    <sheet sheetId="2" name="So sánh chi tiết" state="visible" r:id="rId5"/>
    <sheet sheetId="3" name="Tài khoản giáo viên" state="visible" r:id="rId6"/>
    <sheet sheetId="4" name="Số liệu đo được" state="visible" r:id="rId7"/>
    <sheet sheetId="5" name="Việc cần làm" state="visible" r:id="rId8"/>
  </sheets>
  <calcPr calcId="171027"/>
</workbook>
</file>

<file path=xl/comments2.xml><?xml version="1.0" encoding="utf-8"?>
<comments xmlns="http://schemas.openxmlformats.org/spreadsheetml/2006/main">
  <authors>
    <author>Author</author>
  </authors>
  <commentList>
    <comment ref="D1" authorId="0">
      <text>
        <r>
          <t xml:space="preserve">Thang điểm: 0 = không có · 1 = có nhưng hạn chế hoặc chưa dựng xong · 2 = có và làm tốt.
Ô TRỐNG = chưa kiểm chứng được, và KHÔNG tính vào trung bình.
Mọi mục của Vivoire đọc từ trang chủ vivoire.app ngày 09/09/2026. Không có tài khoản nên không kiểm được bên trong. « Không thấy nêu » KHÔNG có nghĩa là « họ không có ».</t>
        </r>
      </text>
    </comment>
  </commentList>
</comments>
</file>

<file path=xl/sharedStrings.xml><?xml version="1.0" encoding="utf-8"?>
<sst xmlns="http://schemas.openxmlformats.org/spreadsheetml/2006/main" count="839" uniqueCount="608">
  <si>
    <t>VIVOIRE  vs  FRACILE — bảng so sánh chi tiết</t>
  </si>
  <si>
    <t>Vivoire: đọc từ trang chủ vivoire.app ngày 09/09/2026 — CHƯA đọc lại. Không có tài khoản nên không kiểm được bên trong sản phẩm.</t>
  </si>
  <si>
    <t>FRACILE: đo từ mã nguồn và database production ngày 22/09/2026.</t>
  </si>
  <si>
    <t>Mọi con số ở sheet này TÍNH từ sheet « So sánh chi tiết » — sửa điểm ở đó thì ở đây tự đổi theo.</t>
  </si>
  <si>
    <t>Nhóm</t>
  </si>
  <si>
    <t>Số mục</t>
  </si>
  <si>
    <t>So được</t>
  </si>
  <si>
    <t xml:space="preserve">Điểm TB
Vivoire</t>
  </si>
  <si>
    <t xml:space="preserve">Điểm TB
FRACILE</t>
  </si>
  <si>
    <t>Chênh lệch</t>
  </si>
  <si>
    <t>Bên nào hơn</t>
  </si>
  <si>
    <t>A. Chấm bài</t>
  </si>
  <si>
    <t>B. Mô phỏng phòng thi</t>
  </si>
  <si>
    <t>C. Thư viện nội dung</t>
  </si>
  <si>
    <t>D. Công cụ học tập</t>
  </si>
  <si>
    <t>E. Tài khoản giáo viên</t>
  </si>
  <si>
    <t>F. Nền tảng &amp; phân phối</t>
  </si>
  <si>
    <t>G. Lòng tin &amp; pháp lý</t>
  </si>
  <si>
    <t>TOÀN BỘ</t>
  </si>
  <si>
    <t>ĐỪNG ĐỌC DÒNG « TOÀN BỘ » NHƯ MỘT TỶ SỐ TRẬN ĐẤU — PHÉP CHỌN MỤC NGHIÊNG SẴN VỀ VIVOIRE.</t>
  </si>
  <si>
    <t xml:space="preserve">Hai cột « Điểm TB » chỉ tính trên những mục CẢ HAI bên đều có điểm — cột « So được » cho biết đó là bao nhiêu mục trong tổng số. Mọi mục « không thấy nêu » của Vivoire bị BỎ RA khỏi phép tính chứ không bị cho 0 điểm: tôi không có tài khoản Vivoire, và « không nêu » không phải là « không có ». Đổi lại, 19 mục FRACILE mạnh mà Vivoire không nêu (đồng hồ chạy khi đóng tab, 2 lượt nghe đếm ở máy chủ, thang chấm tự soạn…) cũng không được cộng vào đây. Bảng này đo NƠI HAI BÊN GẶP NHAU, không đo tổng giá trị hai sản phẩm.
Và chỗ hai bên gặp nhau CHÍNH LÀ mặt hàng Vivoire đem đi bán: 30 mục so được đều là thứ họ đưa lên trang chủ. Nên trung bình nghiêng về họ theo đúng cách một bảng so sánh dựng từ trang bán hàng của đối thủ sẽ nghiêng. Đọc cột « So được » trước cột « Điểm TB »: nhóm nào dưới 3 mục thì cột cuối ghi « quá ít mục » và không kết luận gì.</t>
  </si>
  <si>
    <t>THANG ĐIỂM</t>
  </si>
  <si>
    <t>0</t>
  </si>
  <si>
    <t>Không có</t>
  </si>
  <si>
    <t>1</t>
  </si>
  <si>
    <t>Có nhưng hạn chế, hoặc đã dựng mà chưa chạy được đầu-cuối</t>
  </si>
  <si>
    <t>2</t>
  </si>
  <si>
    <t>Có và làm tốt</t>
  </si>
  <si>
    <t>(trống)</t>
  </si>
  <si>
    <t>Chưa kiểm chứng được — KHÔNG tính vào trung bình</t>
  </si>
  <si>
    <t>ĐÃ ĐỔI GÌ SO VỚI BẢN 09/09 — bản này đo 08/10/2026</t>
  </si>
  <si>
    <t>Chấm PE bằng AI</t>
  </si>
  <si>
    <t>Đã dựng (Edge Function cham-pe, 38 ca kiểm) nhưng CHƯA BẬT vì thiếu khoá API. Điểm 0 → 1: có mà chưa chạy được đầu-cuối.</t>
  </si>
  <si>
    <t>Flashcard đổi mô hình</t>
  </si>
  <si>
    <t>Thẻ SM-2 sinh từ lỗi sai đã gỡ; nay là bộ do giáo viên soạn, đã chạy thật với tài khoản học sinh. Điểm cơ chế 2 → 1: mất lịch ôn ngắt quãng — đúng chỗ Vivoire mạnh.</t>
  </si>
  <si>
    <t>FAQ + Điều khoản</t>
  </si>
  <si>
    <t>Có từ 21/09. Điểm 0 → 1, chưa lên 2: cả hai chưa có email liên hệ, Điều khoản chưa qua luật sư.</t>
  </si>
  <si>
    <t>Chính sách bảo mật</t>
  </si>
  <si>
    <t>Dựng rồi gỡ cùng ngày theo quyết định chủ dự án. Vẫn 0.</t>
  </si>
  <si>
    <t>23/09 — dọn và sửa đáp án phía học sinh</t>
  </si>
  <si>
    <t>Sửa lỗi đáp án rỗng với học sinh (tô màu, điểm, điền từ, bảng, sắp xếp); 4 câu sắp xếp mang đáp án bị xáo, đã ghi lại. Gỡ /professeur/oral, xoá hai tài khoản thử, điền email liên hệ.</t>
  </si>
  <si>
    <t>23/09 — cả hai đường ghi của giáo viên đã thử xong</t>
  </si>
  <si>
    <t>Lưu lời giải: 207→209. Đặt neo: lần đầu (tab cũ) không ghi gì, sau Ctrl+F5 ngay tại trang đó thì ghi đúng. Mỗi tab giữ riêng bản mã của nó.</t>
  </si>
  <si>
    <t>23/09 — tìm ra nguyên nhân lỗi cũ</t>
  </si>
  <si>
    <t>Phép thử đối chứng trên lưu lời giải: không tải lại trang → dòng xanh, database không đổi; Ctrl+F5 rồi viết hai lần → 207 lên 209. Nguyên nhân của cả ba lỗi 'báo lưu mà không lưu' là TAB CHẠY BẢN JS CŨ, không phải máy chủ.</t>
  </si>
  <si>
    <t>22/09 — lịch ôn lưu được</t>
  </si>
  <si>
    <t>Tài khoản thật bấm Tốt nhưng database không đổi; thêm hàm chấm có biên nhận (091), sau Ctrl+F5 thì lưu được. Nguyên nhân gốc chưa chứng minh — nghi tab chạy bản JS cũ. Bốn bộ Flashcard đã công khai.</t>
  </si>
  <si>
    <t>Làm tiếp cùng ngày</t>
  </si>
  <si>
    <t>Neo 1→2: 7 câu có neo thật. Flashcard cơ chế 1→2: có lại lịch ôn SM-2. Ba bộ nháp cho Đọc/Viết/Nói. Và SỬA LẠI một con số: « 8 bài tự luận học sinh đang chờ » — 7 bài là tài khoản thử của chủ dự án.</t>
  </si>
  <si>
    <t>24/09 — hai lỗi mất dữ liệu khi LƯU BÀI</t>
  </si>
  <si>
    <t>Lưu bài xoá rồi chèn lại câu hỏi, nên (1) xoá sạch neo — 7 neo mất, đã khôi phục; (2) xoá lịch sử trả lời của học sinh qua ON DELETE CASCADE — answers còn 57 thay vì 127, KHÔNG khôi phục được. Cả hai đã sửa. Câu hỏi 372→353 và lời giải 209→188 chưa rõ nguyên nhân.</t>
  </si>
  <si>
    <t>24/09 — giao diện</t>
  </si>
  <si>
    <t>Khách chưa đăng nhập vào thẳng trang giới thiệu. Gỡ khối « Lớp của bạn » ở thanh bên. Màn Thống kê dựng lại bằng số liệu thật.</t>
  </si>
  <si>
    <t>25/09 — trang giới thiệu</t>
  </si>
  <si>
    <t>Nội dung mới do chủ dự án viết (5 chỗ chỉnh cho khớp sản phẩm: bỏ DALF, bỏ « chấm chữa theo barem », 'tự đối chiếu', 'phần lớn câu có lời giải', câu đồng ý không nhắc chính sách chưa có). Ảnh màn hình + ảnh đại diện thật, chân trang xanh, form « Gửi câu hỏi » gửi thật. Điểm « Xem đăng ký tư vấn » 1 → 2.</t>
  </si>
  <si>
    <t>25/09 — tiếp</t>
  </si>
  <si>
    <t>Chính sách bảo mật dựng lại (0 → 1). Widget chuỗi ngày tính ở máy chủ. Tìm kiếm chung. Ảnh Google làm ảnh đại diện — kèm sửa ràng buộc 046 vốn từ chối mọi ảnh https (9 tài khoản được gán ảnh Google). Cấp độ C1. Chuẩn hoá bản dịch ba thứ tiếng. Trang đăng nhập có bản tối; bỏ emoji ở các ô trống và khối điểm.</t>
  </si>
  <si>
    <t>26/09</t>
  </si>
  <si>
    <t>XP + đổi XP lấy bài + theo dõi bạn học (101–103). Tour giới thiệu cho Lịch, Flashcard, Tài khoản, XP. Trang đăng nhập có lớp phủ trượt. Chuông thông báo + nhãn XP trên thanh trên. Màn theo dõi luyện tập của giáo viên làm lại; tên Google « Quốc Hùng Đỗ » hiển thị « Đỗ Quốc Hùng ».</t>
  </si>
  <si>
    <t>26/09 — lỗi lưu bài</t>
  </si>
  <si>
    <t>Từ 24/09 mọi lần giáo viên lưu bài đều hỏng — do bản sửa 24/09 (upsert đòi quyền đọc cột đáp án). Sửa bằng RPC luu_cau_hoi (104). Phát hiện nhờ chủ dự án gửi ảnh; thông báo lỗi nay kèm lý do.</t>
  </si>
  <si>
    <t>26/09 — FAQ + Flashcard</t>
  </si>
  <si>
    <t>FAQ 1 → 2: 15 câu khớp tính năng hiện có, sửa câu hứa « xin gợi ý AI » (chưa bật). Soạn 8 bộ Flashcard mới (2 bộ/kỹ năng, 96 thẻ, B1–B2), để nháp chờ chủ dự án duyệt.</t>
  </si>
  <si>
    <t>26/09 — tiếp</t>
  </si>
  <si>
    <t>Flashcard 1 → 2: công khai 8 bộ mới, học sinh thấy 12 bộ · 131 thẻ (đo bằng claim giả). Bảng xếp hạng XP (105). Soạn 6 bài luyện nháp B1–B2 (60 câu, đủ lời giải) — chưa tính vào « Số bài luyện » tới khi công khai.</t>
  </si>
  <si>
    <t>27/09</t>
  </si>
  <si>
    <t>AI chấm PE BẬT (OpenAI gpt-6-luna, chủ dự án chọn vì rẻ nhất; thử qua giao diện: có nhận xét). Bài viết (PE) — AI chấm 1 → 2; Chấm bài cho học sinh 0 → 1. Thêm tour « Nền tối và cài đặt » + nút « Xem lại hướng dẫn »; Chính sách bảo mật ghi OpenAI.</t>
  </si>
  <si>
    <t>07–08/10</t>
  </si>
  <si>
    <t>Đề A1 + A2 Đề 2 theo format 2; nghe kiểu phòng thi (nghỉ 30 s giữa hai lượt); 2 lượt thi/ngày kèm cảnh báo; 3 dạng câu DELF mới; gói VIP + quản lý VIP; thu gọn tài khoản giáo viên (gỡ lời giải, sổ tay, lộ trình, tư vấn, tạo lớp); Flashcard, Neo, Cấp quyền, Thông báo làm lại giao diện; trạng thái online cho người theo dõi nhau. Học sinh: gộp Cần làm + Đã nộp thành « Bài tập được giao », Kết quả thi vào từ màn Thi thử, gỡ nút Làm mới.</t>
  </si>
  <si>
    <t>08/10 chiều</t>
  </si>
  <si>
    <t>AI tự chấm phần viết bài thi thử (thay « giáo viên đang chấm »); thanh chuyển bài + cảnh báo câu chưa làm trong thi thử; VIP không giới hạn lượt thi và lượt AI, có huy hiệu trên ảnh đại diện; xoá 5 tài khoản không có hồ sơ (đã sao lưu); xuất bản 62 bài nháp + 7 đề.</t>
  </si>
  <si>
    <t>08/10 tối</t>
  </si>
  <si>
    <t>Ba ngôn ngữ làm lại (~650 chuỗi, ~40 màn); FAQ/Điều khoản/Bảo mật viết lại ba thứ tiếng; AI chấm viết làm lại (phiếu nhận xét theo grille + mốc điểm DELF, 3 lượt/ngày, VIP không giới hạn); nghe kiểu phòng thi cho MỌI đề; bài nghe 5 cho đề A1 theo đề mẫu chính thức; gỡ Từ điển; ô tick chuỗi ngày màu cam.</t>
  </si>
  <si>
    <t>09–10/10</t>
  </si>
  <si>
    <t>Linh vật Leon (logo, favicon, 24 sticker, có mặt ở mọi thẻ, phần hướng dẫn, trang đăng nhập); trợ lý « Hỏi Leon » (AI hỏi đáp tiếng Pháp, 10 câu/ngày, VIP không giới hạn); trang giới thiệu làm lại; giao diện mới cho Lộ trình, Thách đấu, Flashcard, Thi thử, Kết quả thi, Bài tập được giao; hiệu ứng âm thanh (có nút tắt); Thách đấu theo chủ đề 10 câu; Flashcard trả phí, cấp quyền, mua bằng chuyển khoản; tài liệu Từ vựng + Giải thích cho 111 bài; sửa lỗi nhiều lúc không cuộn được trang.</t>
  </si>
  <si>
    <t>10/10 tối</t>
  </si>
  <si>
    <t>Thêm mục « Nghe &amp; Nói »: 200 câu chép chính tả + 200 câu luyện phát âm (A1–B2, 50 mỗi trình độ), AI chép lại bản đọc và so từng từ.</t>
  </si>
  <si>
    <t>11–13/10</t>
  </si>
  <si>
    <t>Tách câu nghe điền từ khỏi chép chính tả (200 câu mới). Bàn phím ký tự Pháp cho mọi ô viết. Theo dõi học sinh làm lại (số liệu thật, Nhắn tin, Giao bài, Chi tiết). Đề B2 Đề 2 theo đề mẫu, đọc và nói dùng bài báo thật. Giao diện thi như tờ đề thật. Phần nói được chấm (tự chấm theo grille chính thức + AI gợi ý, /100 hoặc /75), có grille C1, bốc thăm đề và thời gian chuẩn bị. Đồng bộ thời lượng hai đề A2.</t>
  </si>
  <si>
    <t>13/10 — việc cần làm đã xong (đo database)</t>
  </si>
  <si>
    <t>AI chấm phần viết thi thử A1: 4 bài đã có điểm. Chuyển khoản VIP: 8 giao dịch (mới nhất 11/10). Nghe thử đề A1 và A2 Đề 2 trên giao diện thi: 32 lượt phần nghe đã nộp. Đối chiếu đề A1/A2 với đề mẫu chính thức: chủ dự án xác nhận đã làm xong. Quyết định KHÔNG theo đuổi từ điển, podcast/video và lớp video: bỏ ba mục đó khỏi bảng so sánh. Không theo đuổi app trên App Store / Google Play: bỏ các mục iOS, Android, đánh giá trên kho ứng dụng. Thêm đóng băng chuỗi ngày (5 lần/tháng, có bảng lịch sử).</t>
  </si>
  <si>
    <t>13/10 tối</t>
  </si>
  <si>
    <t>Thanh bên chia nhóm (Học tập / Luyện thi / Của tôi), biểu tượng trong ô, ô trợ giúp. Trang Tài khoản làm lại (ảnh bìa, thanh hoàn thiện hồ sơ, khối có biểu tượng, thanh lưu dính đáy). Hộp hoàn thiện hồ sơ chỉ hỏi tài khoản mới. Thư viện Flashcard hết loang màu cam. Bài thi thử tách kho riêng khỏi thư viện; phần nghe thi thử bỏ ảnh và giữ bài đang nghe khi chuyển bài.</t>
  </si>
  <si>
    <t>13–14/10</t>
  </si>
  <si>
    <t>Lộ trình: chủ đề thành cột dọc, cuộn được bằng con lăn. Sửa lỗi màn Luyện tập (biến dùng trước khi khai báo). Màn chờ thi thử gọn lại. Thách đấu thêm 14 chủ đề từ Lộ trình. 5 đề thi thử mới, đọc B1–C1 từ báo thật, công bố 14/10. Giấy nháp, bút tô sáng, chặn dán vào bài viết.</t>
  </si>
  <si>
    <t>14/10 tối</t>
  </si>
  <si>
    <t>Sửa lỗi 5 đề mới không có bốc thăm đề nói (trường bocTham bị bỏ khi lưu). Phần nói được AI chấm tự động như phần viết, vẫn tự chấm lại được. Ô nhập trên tờ đề luôn chữ đen ở nền tối.</t>
  </si>
  <si>
    <t>14/10 đêm</t>
  </si>
  <si>
    <t>Màn chờ thi thử báo trước có thể nộp từng phần sớm. Mã QR thanh toán căn giữa (lệch vì preflight tắt). Rà lại quyền lợi gói VIP từ mã nguồn.</t>
  </si>
  <si>
    <t>14/10 khuya</t>
  </si>
  <si>
    <t>Quyền lợi VIP mới: đề thi thử ngoài Đề 1 cần VIP, bài viết mẫu AI, báo cáo tiến bộ tuần, ôn lại câu sai (trang « Tiến bộ VIP »). Lịch: đủ 24 giờ, bộ chọn giờ mới, đặt lịch gắn với Lộ trình / Luyện tập / Flashcard / Thi thử / Nghe &amp; Nói / Thách đấu.</t>
  </si>
  <si>
    <t>15/10</t>
  </si>
  <si>
    <t>Đề DELF B2 theo format mới (3 đề), điểm riêng từng câu; Nghe &amp; Nói C1 khó hơn, đọc nhanh; 9 bộ Flashcard Nghe/Viết/Nói; đề xuất bài theo trình độ + mục tiêu; khung chào mừng mới; nhạc nền EDM cho Lộ trình; khoá chồng tiếng phần nghe; ký tự đặc biệt trong giấy nháp; rà bảo mật 17 nhóm và vá lỗ hổng; trần 100 lượt AI/ngày cho VIP.</t>
  </si>
  <si>
    <t>16/10</t>
  </si>
  <si>
    <t>Mục « Học ngữ pháp »: 76 bài A0 đến C1, chia phần có mục lục, giải thích sư phạm, 1 194 câu luyện 5 dạng; Flashcard làm lại thẻ sai; Thách đấu xem lại và làm lại câu sai; gỡ Sổ tay.</t>
  </si>
  <si>
    <t>16/10 chiều</t>
  </si>
  <si>
    <t>Ngữ pháp công khai 17 bài ở /ngu-phap; báo lỗi câu + màn xử lý cho giáo viên; ôn câu ngữ pháp sai giãn cách (VIP); gợi ý bài ngữ pháp sau Luyện tập; tiến độ ngữ pháp trên trang chủ; chấm linh hoạt; menu đưa Học ngữ pháp lên đầu; thông báo bấm được để tới đúng chỗ; ngày sinh dùng bộ chọn ngày; hồ sơ hiện trước hướng dẫn; khung theo dõi có số người và cuộn được.</t>
  </si>
  <si>
    <t>17/10</t>
  </si>
  <si>
    <t>Học ngữ pháp chia chi tiết 346 phần, 2 750 câu; SEO trang ngữ pháp công khai (tiêu đề, mô tả, JSON-LD, sitemap, robots); bài xếp trình độ 20 câu; âm thanh câu ví dụ A1–A2; gợi ý ôn ngữ pháp ở kết quả Thi thử; sửa lỗi Luyện tập hiện « sai hết » trong lúc chờ chấm.</t>
  </si>
  <si>
    <t>18/10</t>
  </si>
  <si>
    <t>A0 thêm 7 bài (có các ngôi tiếng Pháp): tổng 83 bài, 374 phần, 2 974 câu; công khai 19 bài; âm thanh ví dụ A0. Chép chính tả / phát âm: số viết bằng chữ số vẫn tính đúng (9 = neuf). Trang giới thiệu: viết lại 4 thẻ « Vì sao chọn FRACILE ». Giáo viên: danh sách theo dõi học sinh gọn, 15 em/trang. Menu cuộn được trên điện thoại và laptop màn hình thấp. Thách đấu: chọn bạn cuộn ngang, chủ đề cuộn dọc + ô tìm. Bài viết mẫu (VIP): chỗ sửa đánh dấu ngay trong bài (chữ cũ đỏ gạch, chữ mới xanh, bấm xem lý do).</t>
  </si>
  <si>
    <t>18/10 tối</t>
  </si>
  <si>
    <t>Tên miền chính www.fracile.vn (SEO, sitemap, header đổi theo). Trang công khai Grille DELF A1–C1 (bài Viết + bài Nói). Dựng sẵn HTML 25 trang công khai cho Google. Cửa sổ hết lượt dùng thử có nút đăng ký VIP. Form Gửi câu hỏi thêm DELF A1.</t>
  </si>
  <si>
    <t>18/10 khuya</t>
  </si>
  <si>
    <t>Trang chủ www.fracile.vn trước trả trang trắng cho Google, nay dựng sẵn đủ nội dung; khai báo thương hiệu FRACILE (tên khác Fracile, fracile.vn) để Google thôi sửa thành « fragile »; llms.txt cho công cụ AI. Search Console: xác minh tên miền, sitemap 25 trang, trang chủ đã lập chỉ mục. Bing Webmaster nhập từ Search Console.</t>
  </si>
  <si>
    <t>18/10 đêm</t>
  </si>
  <si>
    <t>Trang công khai Lịch thi DELF, DALF (ngày thi, hạn đăng ký, lệ phí 2026 theo ifv.vn, 10 trung tâm thi, DELF Junior, DELF Prim, đếm ngược). Điện thoại: bảng ký tự tiếng Pháp thành một hàng nằm ngay trên ô đang gõ, không còn che ô nhập. Hồ sơ: trình độ và mục tiêu hiện tiếng Việt.</t>
  </si>
  <si>
    <t>18/10 khuya (2)</t>
  </si>
  <si>
    <t>Gửi link www.fracile.vn qua Facebook, Messenger, Zalo, iMessage hiện ảnh xem trước: banner « FRACILE · Học tiếng Pháp vui hơn cùng Leon » (1200×630).</t>
  </si>
  <si>
    <t>19/10</t>
  </si>
  <si>
    <t>Kết bạn: @username tự cấp cho 35/35 tài khoản, tìm bạn theo tên, gợi ý theo dõi kèm lý do, link kết bạn. Đề thi thử: thêm A1 Đề 3, C1 Đề 3, B1 Đề 4 đến 6, B2 Đề 4 đến 6 (21 đề phát hành; A1, A2 đề thường), soạn nội dung ngay trong đề, chọn Thường / VIP, « Xem như học sinh », soạn chủ đề bốc thăm. Trình soạn bài gọn lại thành 4 phần.</t>
  </si>
  <si>
    <t>20/10</t>
  </si>
  <si>
    <t>Thêm 14 bài luyện tập trả phí (19.000đ/bài hoặc 190 XP, VIP mở tất cả), ưu tiên A2, đọc hiểu, viết, C1. Bảng giá chốt: VIP tháng 99.000đ, bài luyện lẻ 19.000đ, đề thi thử lẻ 39.000đ.</t>
  </si>
  <si>
    <t>20/10 (tối)</t>
  </si>
  <si>
    <t>Thêm 10 bài đọc hiểu A2 miễn phí; tính năng tô sáng + sổ từ mới trong bài luyện tập và bài được giao (học sinh xem lại từ đã ghi sau khi nộp).</t>
  </si>
  <si>
    <t>22–23/10</t>
  </si>
  <si>
    <t>Chuỗi ngày học tính mọi hoạt động; mục « Học tập » gộp Lộ trình + Ngữ pháp; giải thích 68 bài viết lại ngắn; giao diện thư viện và màn làm bài làm lại (thẻ dọc, nút Luyện tập trải ngang, thu vào giữa); hồ sơ kỹ năng thành ô nhỏ cột phải trang chủ; bảng VIP hiện tên thật (biệt danh).</t>
  </si>
  <si>
    <t>23/10 (tối)</t>
  </si>
  <si>
    <t>Lộ trình thêm chương 2 (B2) cho 16 chủ đề: 160 màn, 1.280 mục; chỗ trống gạch liền ở mọi bài và trò chơi; ô trả lời, nút Luyện tập, thẻ đề xuất làm lại; sửa lỗi trình độ không cập nhật trên trang chủ; bảng theo dõi thu gọn.</t>
  </si>
  <si>
    <t>Số liệu trôi</t>
  </si>
  <si>
    <t>33 bài (từ 34), 372 câu (từ 373), 9 tài khoản (từ 7). Không phải lỗi — thư viện và người dùng thay đổi; bảng này là ảnh chụp của một ngày.</t>
  </si>
  <si>
    <t>Mục so sánh</t>
  </si>
  <si>
    <t>Vivoire</t>
  </si>
  <si>
    <t xml:space="preserve">Điểm
Vivoire</t>
  </si>
  <si>
    <t>FRACILE</t>
  </si>
  <si>
    <t xml:space="preserve">Điểm
FRACILE</t>
  </si>
  <si>
    <t>Ai hơn</t>
  </si>
  <si>
    <t>Trạng thái FRACILE</t>
  </si>
  <si>
    <t>Bằng chứng / nguồn đo</t>
  </si>
  <si>
    <t>Trắc nghiệm / điền từ / chia động từ</t>
  </si>
  <si>
    <t>« Đề chuẩn cấu trúc, chấm ngay »</t>
  </si>
  <si>
    <t>Chấm ở MÁY CHỦ; đáp án không cấp SELECT cho trình duyệt</t>
  </si>
  <si>
    <t>Đang chạy</t>
  </si>
  <si>
    <t>Edge Function `grade` + migration 022 (answer_key khoá khỏi anon/authenticated)</t>
  </si>
  <si>
    <t>Bài viết (PE) — tự chấm theo thang</t>
  </si>
  <si>
    <t>KHÔNG CÓ (chủ dự án xác nhận 14/10)</t>
  </si>
  <si>
    <t>Grille DELF CHÍNH THỨC, 6 tiêu chí, A1–B2; đối chiếu bài mình theo từng tiêu chí. 18/10: trang công khai /grille-delf giải thích grille bài Viết và bài Nói A1–C1 bằng tiếng Việt, đọc thẳng thang đang dùng để chấm</t>
  </si>
  <si>
    <t>PESelfEvaluation.jsx + shared/grilleRubric.js; check:grille 59 ca, check:bareme 457 ca</t>
  </si>
  <si>
    <t>Bài viết (PE) — AI chấm</t>
  </si>
  <si>
    <t>AI chấm ngữ pháp và cách diễn đạt</t>
  </si>
  <si>
    <t>Làm lại 08/10: AI đóng vai giám khảo DELF, chấm theo grille + MỐC ĐIỂM của đúng trình độ; phiếu nhận xét có cấu trúc (điểm từng tiêu chí, điểm mạnh, cần cải thiện, trích dẫn, 3 ưu tiên sửa, câu viết lại). Thi thử: AI tự chấm khi mở Kết quả thi. 3 lượt AI/ngày (giờ VN), VIP không giới hạn. 18/10: hết lượt dùng thử thì hiện cửa sổ chung (hết gì, khi nào có lại, quyền lợi VIP, nút đăng ký); Bài viết mẫu VIP đánh dấu chỗ sửa ngay trong bài</t>
  </si>
  <si>
    <t>Đang chạy — phiếu kiểu mới chưa chạy đầu-cuối với AI thật</t>
  </si>
  <si>
    <t>cham-pe (chinhThuc + prompt mới), _shared/goiYPE.js mở rộng, NhanXetAI.jsx; check:champe 38 ca</t>
  </si>
  <si>
    <t>Bài nói (PO) — ghi âm và nghe lại</t>
  </si>
  <si>
    <t>Có, kèm phản hồi AI</t>
  </si>
  <si>
    <t>Ghi âm + tự nghe lại; CỐ Ý không cho điểm (DELF chấm nói bằng đối thoại)</t>
  </si>
  <si>
    <t>migration 057/058; bucket `bai-noi` private, đường dẫn mang phân quyền theo user_id</t>
  </si>
  <si>
    <t>Bài nói (PO) — AI nhận xét</t>
  </si>
  <si>
    <t>Phát âm 82% · Trôi chảy 76% · Từ vựng B1</t>
  </si>
  <si>
    <t>Nút « AI nhận xét » cạnh bản ghi: chép lời + góp ý ngữ pháp, từ vựng, nối ý bằng tiếng Việt. CỐ Ý không cho điểm phần trăm (quy tắc 1). 6 lượt/24 giờ</t>
  </si>
  <si>
    <t>Đã dựng 27/09 — chưa chạy đầu-cuối (kho bai-noi 0 file)</t>
  </si>
  <si>
    <t>migration 107, Edge Function nhan-xet-noi (gpt-transcribe → gpt-6-luna)</t>
  </si>
  <si>
    <t>Giáo viên chấm tay</t>
  </si>
  <si>
    <t>Có — nằm trong màn lớp học của giáo viên</t>
  </si>
  <si>
    <t>ĐÃ GỠ HẲN 09/09: route, mục menu, màn hình và nhãn i18n đều đi</t>
  </si>
  <si>
    <t>Đã gỡ — có chủ đích</t>
  </si>
  <si>
    <t>commit « Gỡ /professeur/copies ». PEGrading.jsx xoá; check:nav 94 đạt</t>
  </si>
  <si>
    <t>Lời giải thích cho câu làm sai</t>
  </si>
  <si>
    <t>704/881 câu có lời giải. Thêm 09/10: đủ 111/111 bài luyện tập có « Từ vựng » + « Giải thích » (AI soạn, không lộ đáp án, không dấu gạch dài); « Đề và đáp án » mở cho học sinh SAU khi đã nộp bài. 23/10: « Giải thích và mẹo » của 68 bài luyện tập viết lại NGẮN (3 ý, mỗi ý một câu, trung bình 247 ký tự thay vì ~1.100); « Từ vựng của bài » thành thẻ từ có giống đực/cái, nút nghe, nút ghi sổ từ</t>
  </si>
  <si>
    <t>Đang chạy — nội dung AI soạn, giáo viên sửa được</t>
  </si>
  <si>
    <t>Edge Function soan-tai-lieu; migration 126 (corrige_bai)</t>
  </si>
  <si>
    <t>Neo đáp án vào ngữ liệu (chỉ ra CHỖ chứa câu trả lời)</t>
  </si>
  <si>
    <t>22 câu trên 2 bài đọc có neo (7 câu « L'impact des locations saisonnières » + 15 câu « Dans le Gard… »), kèm 17 bẫy. 24/09: lưu bài không còn xoá neo</t>
  </si>
  <si>
    <t>Đang chạy — có dữ liệu</t>
  </si>
  <si>
    <t>Mỗi đoạn trích kiểm bằng kiemNeo() trên văn bản thật trước khi ghi; claim giả: học sinh đã làm đọc được 7 neo, chưa làm đọc được 0</t>
  </si>
  <si>
    <t>Đề thi thử đúng cấu trúc DELF</t>
  </si>
  <si>
    <t>Đề thi thử DELF A1–B2 « đúng cấu trúc » (FAQ 10/10); viết có AI chấm, nói luyện riêng qua bài phát âm. Không thấy DALF C1/C2</t>
  </si>
  <si>
    <t>13 đề đã phát hành (A1 ×2 · A2 ×3 · B1 ×3 · B2 ×3 · C1 ×2), đủ 4 phần. B2 Đề 2 (11/10) soạn theo khuôn ba đề mẫu « tout public » chủ dự án gửi, phần đọc và nói dùng ba bài báo The Conversation THẬT (rút gọn, ghi « D'après »). Từ 12–13/10: phần nói ĐƯỢC CHẤM /25 (thi nói → tổng /100, bỏ nói → /75, ngưỡng đạt tỉ lệ 50 %), bốc thăm đề nói + thời gian chuẩn bị như thi thật, giao diện trình bày như tờ đề thật, câu Vrai/Faux có ô chép câu chứng minh. Từ 13/10: bài thi thử ở KHO RIÊNG (58 bài), không lẫn vào thư viện luyện tập (68 bài; 6 bài thư viện gốc từng dùng trong đề được nhân bản lại cho thư viện); phần nghe không hiện ảnh; chuyển bài trong phần nghe không làm mất bài đang nghe. 14/10: thêm 5 đề (A1 Đề 2, A2 Đề 3, B1 Đề 3, B2 Đề 3, C1 Đề 2), bài đọc B1–C1 và tài liệu nói B2–C1 lấy từ bài báo thật The Conversation; giấy nháp cho Nghe/Đọc/Viết; bút tô sáng trên bài đọc. 15/10: 3 đề DELF B2 làm lại theo FORMAT MỚI (khuôn đề TP68): Nghe 3 bài (9 + 9 + 7 đ, bài 3 gồm ba tài liệu ngắn nghe 1 lượt, tiêu đề DOCUMENT 1/2/3), Đọc 3 bài (9 + 9 + 7 đ, bài 3 ghép ý kiến diễn đàn), điểm riêng từng câu 0,5 đến 2 đ; đề cũ ẩn, không xoá. 19/10: 21 đề đang phát hành (A1 3, A2 3, B1 6, B2 6, DALF C1 3); A1, A2 đều là đề thường, B1, B2, C1 ngoài Đề 1 dành cho VIP. Đề mới B1, B2 Đề 4 đến 6 chủ đề nghị luận xã hội 2026 (mạng xã hội dưới 15 tuổi, sức khỏe tâm thần, mùa hè 2026, nhà ở, làm việc từ xa), bài đọc viết lại từ báo uy tín có ghi nguồn; A1 Đề 3, C1 Đề 3 nội dung do FRACILE soạn</t>
  </si>
  <si>
    <t>Đang chạy — phần nói chấm điểm và bốc thăm chưa ai thi thật</t>
  </si>
  <si>
    <t>ExamMode.jsx, BocThamNoi.jsx, examPaper.js (nguongTong); migration 135–137; check:exam 118 ca; migration 140 (store 'exam'), tab « Bài thi thử » cho giáo viên; lô 18 (scripts/nhap/lo18_*), GiayNhap.jsx, VanBanToSang.jsx</t>
  </si>
  <si>
    <t>Nghe hiểu giới hạn 2 lượt phát</t>
  </si>
  <si>
    <t>Đếm ở MÁY CHỦ. Từ 08/10 MỌI đề thi thử (21 bài nghe) dùng « nghe kiểu phòng thi »: 30 s đọc câu hỏi, lượt 1, nghỉ 30 s, lượt 2, 30 s hoàn thành, phát một lần; luyện tập vẫn phát file gốc. 15/10: chỉ MỘT bài nghe phát tại một thời điểm (hết chồng tiếng khi chuyển bài); nút phát kiểu tờ đề có thanh tiến trình và thời gian</t>
  </si>
  <si>
    <t>migration 119, 121; lô 11 + 13; meta.audioLuyen giữ file gốc; đo silencedetect 3 khoảng 30 s</t>
  </si>
  <si>
    <t>Đồng hồ chạy tiếp khi đóng tab</t>
  </si>
  <si>
    <t>Có — mốc thời gian giữ ở máy chủ</t>
  </si>
  <si>
    <t>attempts.started_at; màn thi nằm ngoài vỏ app</t>
  </si>
  <si>
    <t>Đọc hiểu chia đôi màn hình, văn bản cuộn riêng</t>
  </si>
  <si>
    <t>Có</t>
  </si>
  <si>
    <t>Màn thi thử và PESelfEvaluation dùng cùng bố cục hai cột</t>
  </si>
  <si>
    <t>Học sinh bỏ chọn phần không thi (PO)</t>
  </si>
  <si>
    <t>Có — tổng phút cam kết giảm theo, không hứa 130 phút cho buổi 115 phút</t>
  </si>
  <si>
    <t>Màn chờ thi; check:exam 114 ca</t>
  </si>
  <si>
    <t>Thang chấm do giáo viên tự soạn</t>
  </si>
  <si>
    <t>Có — exams.grille; giao diện không cần nhánh if nào</t>
  </si>
  <si>
    <t>migration 035/036; GrilleEditor.jsx</t>
  </si>
  <si>
    <t>Dải cấp độ</t>
  </si>
  <si>
    <t>A1 → C2 (6 cấp) cho luyện kỹ năng + ôn thi cấp 3; thi thử chỉ A1–B2</t>
  </si>
  <si>
    <t>Nhận A1 → C1. Bài đã xuất bản (06/10): A1 9 · A2 6 · B1 24 · B2 5 · B2+ 4 · C1 0. Nháp chờ duyệt có đủ mọi cấp (A1 2 · A2 6 · B1 5 · B2 6 · B2+ 3 · C1 4) — xuất bản xong thì mọi cấp đều có bài</t>
  </si>
  <si>
    <t>Chờ duyệt nháp A2/B2+/C1</t>
  </si>
  <si>
    <t>docs/roadmap-delf.md; LEVEL_COLORS là nguồn duy nhất cho Builder + dải lọc</t>
  </si>
  <si>
    <t>Số bài luyện</t>
  </si>
  <si>
    <t>200 chép chính tả + 200 nghe điền từ + 400 bài luyện phát âm (công bố 10/10)</t>
  </si>
  <si>
    <t>110 bài, TẤT CẢ đã xuất bản (08/10): 90 bài luyện tập riêng + 20 bài thuộc đề thi thử, A1 → C1, trong đó các bài nghe giọng tổng hợp và 3 bài cắt từ Wikipédia parlée. 20/10: thêm 14 bài TRẢ PHÍ (A2, B1, B2, C1: đọc, viết, ngữ pháp, từ vựng, 2 bài nghe có audio; 94 câu), thư viện còn khoảng 80 bài. 20/10 (lần 2): thêm 10 bài đọc hiểu A2 MIỄN PHÍ (70 câu: email, thông báo, quảng cáo, công thức, blog…), đọc hiểu A2 trong thư viện từ 2 lên 12 bài</t>
  </si>
  <si>
    <t>select count(*) from exercises = 110, nháp = 0, đo 08/10/2026. Vẫn ít hơn 400 bài Vivoire công bố, nhưng vượt ngưỡng 60 để chấm 2</t>
  </si>
  <si>
    <t>Số câu hỏi</t>
  </si>
  <si>
    <t>Không công bố</t>
  </si>
  <si>
    <t>881 câu, 9 dạng: qcm (có thể kèm HÌNH), fill, conj, vf, tableau, ordre, tự luận, GHÉP CẶP, PHIẾU</t>
  </si>
  <si>
    <t>select count(*) from questions = 881, đo 08/10/2026</t>
  </si>
  <si>
    <t>Audio bản xứ</t>
  </si>
  <si>
    <t>Có (nêu rõ « audio bản xứ »)</t>
  </si>
  <si>
    <t>25 bài nghe, 196 câu (02/10): A1 4 bài/23 câu · A2 5/25 · B1 9/71 · B2 4/48 · C1 3/29. Phần lớn là GIỌNG TỔNG HỢP (OpenAI TTS, ghi rõ trong bài); 3 bài C1 người thật đọc (Wikipédia parlée, CC0/PD/GFDL, ghi nguồn); 3 bài cũ không rõ nguồn giọng. Bài B1/B2 mới dài 1'40–2'30, 12–14 câu/bài như đề thật. Chưa có audio người bản xứ thu riêng</t>
  </si>
  <si>
    <t>Đang chạy — 4 bài nghe B1 đã xuất bản; các bài khác đang nháp</t>
  </si>
  <si>
    <t>Edge Function tao-audio + kho nghe (114); docs/nghe/kich-ban-nghe.md liệt kê nguồn đã kiểm và đã loại (Audio-Lingua cấm đăng lại, RFI/TV5 có bản quyền)</t>
  </si>
  <si>
    <t>Nhập đề hàng loạt</t>
  </si>
  <si>
    <t>Dán một khối JSON là xong cả bài 25 câu. KHÔNG đọc được .docx</t>
  </si>
  <si>
    <t>Builder.jsx — trình nhập JSON</t>
  </si>
  <si>
    <t>Flashcard — cơ chế</t>
  </si>
  <si>
    <t>Flashcard + 3 game mỗi ngày, « ôn từ đúng lúc sắp quên »</t>
  </si>
  <si>
    <t>Bộ do GIÁO VIÊN soạn, lịch ôn SM-2, thẻ lật 3D. Giao diện làm lại 09/10: Leon phản ứng theo lần chấm, nút chấm có phím 1–4, phím cách để lật, âm thanh. Từ 10/10 có BỘ TRẢ PHÍ: học sinh thấy ổ khoá + giá, mua bằng chuyển khoản (tự mở khoá khi tiền về), VIP mở hết. 15/10: cuối buổi tổng kết thẻ sai, nút « Làm lại thẻ sai » / luyện lại cả bộ (không đổi lịch ôn)</t>
  </si>
  <si>
    <t>Đang chạy — chưa có giao dịch mua bộ thật</t>
  </si>
  <si>
    <t>LuyenBoThe.jsx, BoTheApp.jsx; migration 128 (co_quyen_bo, RLS thẻ theo quyền), 130 (mua_bo_the); webhook SePay nhận mã BO&lt;4 ký tự&gt;</t>
  </si>
  <si>
    <t>Flashcard — quy mô</t>
  </si>
  <si>
    <t>Không công bố số thẻ</t>
  </si>
  <si>
    <t>12 bộ · 131 thẻ, cả 12 công khai (26/09), 3 bộ mỗi kỹ năng, mỗi thẻ có câu ví dụ. 15/10: thêm 9 bộ, 108 thẻ (Nghe, Viết, Nói mỗi kỹ năng 6 bộ)</t>
  </si>
  <si>
    <t>Đang chạy — 12 công khai</t>
  </si>
  <si>
    <t>the_bo = 4, the_bo_the = 35; học sinh mở bằng tài khoản thật thấy đủ bốn bộ (21/09)</t>
  </si>
  <si>
    <t>Soạn thẻ hàng loạt</t>
  </si>
  <si>
    <t>Dán nhiều dòng « mặt trước | mặt sau | phiên âm »; dòng hỏng được gọi tên kèm số dòng</t>
  </si>
  <si>
    <t>shared/boTheGiaoVien.js bocDong(); chủ dự án tạo bộ thử qua giao diện 12/09</t>
  </si>
  <si>
    <t>Chuỗi ngày học</t>
  </si>
  <si>
    <t>Có, kèm nhiệm vụ và kim cương</t>
  </si>
  <si>
    <t>Có — widget trang chủ: chuỗi + 7 ô trong tuần, tính ở MÁY CHỦ từ lượt nộp bài theo giờ Việt Nam (đổi đồng hồ máy không có tác dụng). 22/10: chuỗi tính MỌI hoạt động (bài tập, thi thử, Flashcard, Thách đấu, Lộ trình, Nghe &amp; Nói, Học ngữ pháp), chỉ máy chủ ghi ngày học nên không tự đắp được; bù lịch sử: 12 học sinh có chuỗi (trước 8)</t>
  </si>
  <si>
    <t>migration 095/096; RPC get_student_streak — đo bằng claim giả: 3 ngày liên tiếp ra 3, ngày bỏ trống cắt chuỗi (25/09)</t>
  </si>
  <si>
    <t>Tìm kiếm bài tập / học sinh</t>
  </si>
  <si>
    <t>Ô tìm ở thanh trên, mở thẳng bài hoặc hồ sơ. Chạy bằng quyền người tìm nên học sinh không thấy hồ sơ người khác</t>
  </si>
  <si>
    <t>Đang chạy — chưa thử qua giao diện</t>
  </si>
  <si>
    <t>migration 097/098; RPC global_search (SECURITY INVOKER) — giáo viên tìm « ng »: 3 bài + 6 học sinh; học sinh: 3 bài + 0</t>
  </si>
  <si>
    <t>Trò chơi / thi đấu</t>
  </si>
  <si>
    <t>Đấu dịch thuật PvP trực tiếp</t>
  </si>
  <si>
    <t>Game Lộ trình + Thách đấu bạn bè. Từ 10/10 thách đấu theo CHỦ ĐỀ (3 chủ đề từ vựng, 4 chủ đề ngữ pháp và diễn đạt): gộp thẻ mọi bộ cùng chủ đề, rút ngẫu nhiên 10 câu; phương án cùng DẠNG, ưu tiên cùng chủ đề, bỏ phần giải thích trong ngoặc; giáo viên soạn được 3 nghĩa sai cho từng thẻ. Giao diện đấu trường mới: đếm ngược 3-2-1, phím 1–4, hiệu ứng và âm thanh. 15/10: sau trận xem lại từng câu đúng/sai và làm lại câu sai (luyện tập, không đổi kết quả trận). 16/10: khung « Đang theo dõi » hiện số người theo dõi / đang theo dõi, danh sách cuộn trong khung. 18/10: Thách đấu chọn bạn cuộn ngang, chủ đề cuộn dọc có ô tìm (gõ không dấu)</t>
  </si>
  <si>
    <t>Đang chạy — trận theo chủ đề chưa chơi thật trên giao diện</t>
  </si>
  <si>
    <t>migration 127–129 (chu_de_the, the_bo.chu_de, the_bo_the.loai/nhieu, sach_pa). Thử trên DB: 7 chủ đề đều ra 10 câu, 0 dấu ngoặc</t>
  </si>
  <si>
    <t>XP (điểm kinh nghiệm)</t>
  </si>
  <si>
    <t>Có, kèm kim cương</t>
  </si>
  <si>
    <t>Cộng ở MÁY CHỦ: nộp bài lần đầu (10 + điểm, từ 26/09) và qua màn Lộ trình lần đầu (5 XP, thử thách 15 XP, từ 29/09); có sổ cái; đổi XP lấy bài trả phí theo giá giáo viên đặt. Chưa bài nào đặt giá XP</t>
  </si>
  <si>
    <t>Đang chạy — chưa ai đổi qua giao diện</t>
  </si>
  <si>
    <t>migration 101–103; claim giả: nộp 2 lần chỉ cộng 1 lần, đổi 15 XP mở được bài, bấm lại không trừ thêm. 5 tài khoản được cộng bù (13–52 XP)</t>
  </si>
  <si>
    <t>Theo dõi bạn học</t>
  </si>
  <si>
    <t>Có (bạn bè, bảng xếp hạng)</t>
  </si>
  <si>
    <t>Theo dõi một chiều bằng @username; thấy « hôm nay đã học chưa », bảng xếp hạng XP, và từ 08/10 TRẠNG THÁI ONLINE (chấm xanh, « online 12 phút trước ») của người mình theo dõi; có tùy chọn ẩn trạng thái. 19/10: mọi tài khoản tự có @username từ tên, tìm bạn theo tên không cần dấu, gợi ý theo dõi kèm lý do (theo dõi bạn, bạn chung, cùng trường, cùng trình độ), link kết bạn</t>
  </si>
  <si>
    <t>Đang chạy — 4 lượt theo dõi</t>
  </si>
  <si>
    <t>migration 123 (cột profiles.lan_cuoi_online thay blob mcf-presence); thử bằng claim giả: ẩn → người theo dõi không thấy</t>
  </si>
  <si>
    <t>Giờ học đo được</t>
  </si>
  <si>
    <t>Đo thật từ 27/09: thời gian từ lúc mở bài tới lúc nộp (kẹp 3 giờ), biểu đồ 7 ngày. Chỉ tính bài nộp từ 27/09 trở đi</t>
  </si>
  <si>
    <t>migration 106: attempts.giay_lam + RPC get_gio_hoc; không điền số ước lượng cho quá khứ</t>
  </si>
  <si>
    <t>Lộ trình học dạng game</t>
  </si>
  <si>
    <t>Lộ trình theo cấp độ</t>
  </si>
  <si>
    <t>16 chủ đề xã hội, 100 màn, 800 mục từ có loại từ; nhiễu cùng loại từ. Giao diện làm lại 09/10: khung đầu có Leon + thanh sao, đường tự vẽ, màn hiện tại có vòng sáng và Leon đứng cạnh; màn chơi có Leon phản ứng, pháo giấy, rung khi sai, âm thanh, phím 1–4. 15/10: nhạc nền kiểu EDM (build-up, drop) tổng hợp trong trình duyệt, bật/tắt bằng nút loa. 23/10: Lộ trình và Học ngữ pháp gộp thành một mục « Học tập » trên thanh bên, hai tab. 23/10 (tối): Lộ trình có CHƯƠNG: thêm chương 2 cho cả 16 chủ đề (160 màn B2, 1.280 từ và cụm nghị luận, không trùng chương 1), mở khi qua thử thách cuối chương 1; tổng 260 màn, 2.080 mục. Bản đồ có hoạ tiết, bảng tóm tắt chương, dải phản hồi mới</t>
  </si>
  <si>
    <t>LoTrinh.jsx, TroChoiMan.jsx, shared/amThanh.js (Web Audio, không file)</t>
  </si>
  <si>
    <t>Kiểm soát ai được học bài nào</t>
  </si>
  <si>
    <t>Ba tầng cho bài tập (VIP 99.000 đ/30 ngày, trọn gói, từng bài) và từ 10/10 cho cả BỘ FLASHCARD: giáo viên đặt bộ trả phí + giá, cấp/thu quyền từng học sinh; học sinh tự mua bằng chuyển khoản</t>
  </si>
  <si>
    <t>QuyenBaiTap.jsx, QuanLyVip.jsx, SoanBoThe.jsx; migration 118, 122, 128, 130</t>
  </si>
  <si>
    <t>Học sinh KHÔNG tự mở khoá được cho mình</t>
  </si>
  <si>
    <t>exercise_access chặn mọi lệnh ghi từ trình duyệt; phải qua Edge Function</t>
  </si>
  <si>
    <t>Đang chạy — GIỮ</t>
  </si>
  <si>
    <t>migration 001; grant-access giữ service_role</t>
  </si>
  <si>
    <t>Soạn đề thi thử</t>
  </si>
  <si>
    <t>Có — ghép bài từ thư viện vào 4 phần, đặt phút và điểm từng phần. 19/10: soạn và sửa nội dung từng phần ngay trong đề (không chọn từ thư viện), chọn Đề thường / Đề VIP, nút « Xem như học sinh » mở đúng màn thi ở chế độ xem thử (không lưu, tắt ghi âm), soạn chủ đề bốc thăm cho phần Nói</t>
  </si>
  <si>
    <t>ExamComposer.jsx; /professeur/examens</t>
  </si>
  <si>
    <t>Soạn bài và quản lý thư viện</t>
  </si>
  <si>
    <t>Có — Builder, thư mục, chuyển bài giữa Entraînement và Devoir. 19/10: trình soạn bài chia 4 phần đánh số (thông tin, đề bài và tài liệu, cài đặt, câu hỏi), thêm câu hỏi theo 3 nhóm có mô tả, tên dạng câu tiếng Việt, thanh lưu dính đáy</t>
  </si>
  <si>
    <t>Builder.jsx; exerciseStore.js</t>
  </si>
  <si>
    <t>Soạn Flashcard</t>
  </si>
  <si>
    <t>Lưới bộ lọc theo kỹ năng; thêm từng thẻ hoặc dán nhiều dòng; sửa tại chỗ. Từ 10/10: chọn chủ đề thách đấu cho bộ, dạng cho từng thẻ, 3 nghĩa sai tự soạn, bộ trả phí + giá, bảng cấp quyền học sinh</t>
  </si>
  <si>
    <t>Đang chạy — giao diện mới chưa ai bấm thử</t>
  </si>
  <si>
    <t>SoanBoThe.jsx, boTheGiaoVien.js</t>
  </si>
  <si>
    <t>Giao bài theo kỹ năng và cấp độ</t>
  </si>
  <si>
    <t>store='assignment'</t>
  </si>
  <si>
    <t>Chấm bài cho học sinh</t>
  </si>
  <si>
    <t>Có — chấm tự động và AI, giáo viên chốt</t>
  </si>
  <si>
    <t>Giáo viên không chấm (gỡ 09/09). Máy chủ chấm câu khách quan; bài viết: AI gợi ý (bật 27/09) + học sinh chốt. Chưa có bước giáo viên duyệt</t>
  </si>
  <si>
    <t>Đang chạy — không có giáo viên chốt</t>
  </si>
  <si>
    <t>Giáo viên chấm tay gỡ 09/09/2026 (có chủ đích). Chưa lên 2 vì Vivoire có giáo viên chốt điểm</t>
  </si>
  <si>
    <t>Gửi nhận xét tới một học sinh</t>
  </si>
  <si>
    <t>Có — đi đường THÔNG BÁO đang có, kèm chuông và dấu đã đọc</t>
  </si>
  <si>
    <t>Nhận xét bài nói dùng chính đường này; check:notifs 38 ca</t>
  </si>
  <si>
    <t>Xem đăng ký tư vấn (leads)</t>
  </si>
  <si>
    <t>Có form thu thông tin</t>
  </si>
  <si>
    <t>ĐÃ GỠ khỏi tài khoản giáo viên 07/10 theo chủ dự án; bảng leads còn nguyên</t>
  </si>
  <si>
    <t>Lấy lại XemLienHe.jsx từ git trước commit 35759f3</t>
  </si>
  <si>
    <t>Số tài khoản đang có</t>
  </si>
  <si>
    <t>17 hồ sơ người dùng (gồm cả tài khoản thử)</t>
  </si>
  <si>
    <t>select count(*) from profiles = 17, đo 06/10/2026</t>
  </si>
  <si>
    <t>Giáo viên điều chỉnh lộ trình học</t>
  </si>
  <si>
    <t>ĐÃ GỠ màn giáo viên 07/10; lộ trình chạy theo cấu hình mặc định (bảng lo_trinh_cau_hinh còn nguyên)</t>
  </si>
  <si>
    <t>Lấy lại LoTrinhGiaoVien.jsx từ git</t>
  </si>
  <si>
    <t>Thống kê lớp + xuất Google Sheets</t>
  </si>
  <si>
    <t>Trang Thống kê: tổng quan 7 ngày (học sinh hoạt động, thời gian học, điểm TB, tỷ lệ hoàn thành — đều so tuần trước), biểu đồ hoạt động, radar kỹ năng, bảng từng học sinh. Nút « Đồng bộ Google Sheets » để máy chủ tự ghi 3 trang tính (30 ngày) vào bảng tính cố định, có biên nhận số dòng</t>
  </si>
  <si>
    <t>Đã dựng 02/10 — chờ chủ dự án nối Google (5 phút, một lần)</t>
  </si>
  <si>
    <t>Edge Function dong-bo-sheets (chỉ giáo viên, số liệu đọc ở máy chủ) + docs/google-sheets/Code.gs. Thử: chưa cấu hình → CHUA_CAU_HINH_SHEETS; CORS đạt. Trang /bao-mat đã ghi Google là bên nhận dữ liệu</t>
  </si>
  <si>
    <t>Duyệt và xuất bản bài soạn sẵn</t>
  </si>
  <si>
    <t>Có từ 02/10 (/professeur/duyet-nhap): đọc trọn bài (ngữ liệu, đáp án, lời giải) rồi xuất bản một cú bấm, máy chủ trả biên nhận</t>
  </si>
  <si>
    <t>Đang chạy — chưa xuất bản bài nào qua trang này</t>
  </si>
  <si>
    <t>RPC xuat_ban_nhap (113): một lệnh UPDATE, không xoá-chèn lại câu hỏi</t>
  </si>
  <si>
    <t>Web</t>
  </si>
  <si>
    <t>Có. Gửi link hiện ảnh xem trước (og:image 1200×630, banner FRACILE cùng Leon) trên Facebook, Messenger, Zalo, iMessage. Tên miền riêng www.fracile.vn (fracile.vn, fracile.cloud, fracile.vercel.app chuyển hướng về). Trang chủ dựng sẵn + khai báo thương hiệu (JSON-LD tổ chức, website, tên khác) + llms.txt cho AI; đã khai Google Search Console (trang chủ đã lập chỉ mục) và Bing Webmaster</t>
  </si>
  <si>
    <t>fracile.vercel.app / www.fracile.vn</t>
  </si>
  <si>
    <t>Tiến độ đồng bộ nhiều thiết bị</t>
  </si>
  <si>
    <t>Có (dữ liệu ở máy chủ), nhưng chỉ một nền tảng nên chưa thành lợi thế</t>
  </si>
  <si>
    <t/>
  </si>
  <si>
    <t>Ngôn ngữ giao diện</t>
  </si>
  <si>
    <t>Việt (giao diện) + Pháp (nội dung)</t>
  </si>
  <si>
    <t>Việt · Pháp · Anh, LÀM LẠI 08/10: ~650 chuỗi viết cứng trong ~40 màn (thi thử, chấm bài, luyện tập, giáo viên, trang giới thiệu, pháp lý) đưa qua bộ dịch, không còn lẫn ngôn ngữ. Nội dung học (đề tiếng Pháp) giữ nguyên. 18/10: trình độ và mục tiêu trong hồ sơ hiện nhãn tiếng Việt</t>
  </si>
  <si>
    <t>Đang chạy — còn nút định dạng trong trình soạn của giáo viên</t>
  </si>
  <si>
    <t>Hàm tr(vi, fr, en) trong shared/i18n.jsx; công cụ scripts/i18n/trich.cjs + ap.cjs; quy tắc 6b trong CLAUDE.md. Xem trước ở /preview.html bằng fr/en</t>
  </si>
  <si>
    <t>Thanh toán</t>
  </si>
  <si>
    <t>Không có — FAQ 10/10: « mọi tính năng học đều miễn phí »; có trang « Ủng hộ »</t>
  </si>
  <si>
    <t>Webhook SePay đã ghim công thức ký; mua bài lẻ, gói VIP và (từ 10/10) bộ Flashcard trả phí qua cùng một mã nội dung chuyển khoản. 20/10: bảng giá chốt: VIP tháng 99.000đ, bài luyện trả phí 19.000đ/bài (hoặc đổi 190 XP), đề thi thử lẻ 39.000đ; VIP mở mọi bài trả phí</t>
  </si>
  <si>
    <t>Đang chạy — mua bộ Flashcard chưa có giao dịch thật</t>
  </si>
  <si>
    <t>check:hmac 45 ca; mua_bo_the thử trên DB: thiếu tiền bị từ chối, giao dịch gửi lại không ghi hai lần</t>
  </si>
  <si>
    <t>Câu hỏi thường gặp (FAQ)</t>
  </si>
  <si>
    <t>16 câu, ĐỦ BA THỨ TIẾNG (08/10), cập nhật theo hiện trạng: AI chấm, nghe kiểu phòng thi, lượt thi/ngày, VIP, trạng thái online. Có email liên hệ</t>
  </si>
  <si>
    <t>/faq; contact.fracile@gmail.com</t>
  </si>
  <si>
    <t>Điều khoản sử dụng</t>
  </si>
  <si>
    <t>Đủ ba thứ tiếng (08/10); ghi rõ điểm thi thử và điểm AI không phải điểm DELF chính thức, thanh toán chuyển khoản + VIP</t>
  </si>
  <si>
    <t>Có — bản nháp, chưa qua luật sư</t>
  </si>
  <si>
    <t>/dieu-khoan</t>
  </si>
  <si>
    <t>Đủ ba thứ tiếng. Rút gọn 10/10 theo chủ dự án: còn Tóm tắt, Thu gì, Dùng làm gì, Quyền của bạn; nhà xử lý (Supabase, Vercel, OpenAI), nơi lưu và thời hạn gộp thành một ý trong Tóm tắt</t>
  </si>
  <si>
    <t>/bao-mat</t>
  </si>
  <si>
    <t>Đội ngũ công khai</t>
  </si>
  <si>
    <t>4 người, có tên và thành tích (HSG quốc gia, thạc sĩ UMass, kỹ sư AI)</t>
  </si>
  <si>
    <t>1 người — Đỗ Quốc Hùng, « Solo-creator &amp; Developer », có ảnh</t>
  </si>
  <si>
    <t>TeamSection.jsx; không ghi bằng cấp chưa kiểm chứng được</t>
  </si>
  <si>
    <t>Số liệu trên trang bán hàng</t>
  </si>
  <si>
    <t>« 56.000+ từ », « 400 bài phát âm », « 200+200 bài », 4,9/5 (32 lượt App Store, 12 lượt Google Play) — số đánh giá có nguồn, số bài không nói nguồn</t>
  </si>
  <si>
    <t>ĐẾM THẬT từ máy chủ lúc tải trang; hỏng thì hiện dấu gạch chứ không hiện 0. 18/10: trang công khai /lich-thi-delf, ngày thi, hạn đăng ký, lệ phí 2026 chép từ ifv.vn (Viện Pháp Hà Nội), ghi nguồn và ngày đối chiếu, đếm ngược đợt gần nhất</t>
  </si>
  <si>
    <t>shared/soLieuCongKhai.js; quy tắc 1 của dự án</t>
  </si>
  <si>
    <t>Giọng nói học sinh lưu ở đâu</t>
  </si>
  <si>
    <t>Bucket RIÊNG, private, không policy xoá/sửa; đường dẫn so user_id</t>
  </si>
  <si>
    <t>migration 057/058 — giọng trẻ vị thành niên ở URL đoán được là chuyện pháp lý</t>
  </si>
  <si>
    <t>Giới hạn lượt thi + cảnh báo</t>
  </si>
  <si>
    <t>2 lượt thi/ngày (giờ VN, đếm ở máy chủ), VIP không giới hạn. Cảnh báo trước khi vào thi và khi thoát; cảnh báo còn câu chưa làm trước khi nộp từng phần; thanh chuyển bài trong phần (số câu đã làm, bài trước/tiếp). 14/10: màn chờ báo trước có thể nộp từng phần sớm (thời gian dư không cộng sang phần sau)</t>
  </si>
  <si>
    <t>migration 120, 121, 124; claim giả: học sinh thường lượt 3 → HET_LUOT, VIP lượt 3 → được</t>
  </si>
  <si>
    <t>Dạng câu riêng của DELF (ghép cặp, phiếu, chọn hình)</t>
  </si>
  <si>
    <t>Có từ 07/10: Appariement (chấm từng mục), Formulaire (điền phiếu A1), QCM có hình; soạn được ở Builder và nhập JSON</t>
  </si>
  <si>
    <t>Đang chạy — 5 câu dạng mới</t>
  </si>
  <si>
    <t>dangMoi.jsx, SoanDangMoi.jsx; hàm grade chấm 3/4 đúng khi thử thật</t>
  </si>
  <si>
    <t>Gửi thông báo tới học sinh</t>
  </si>
  <si>
    <t>Trang riêng (08/10): mẫu nhanh, chọn tất cả hoặc từng em (có chấm online), xem trước như chuông học sinh, lịch sử kèm số đã đọc</t>
  </si>
  <si>
    <t>Đang chạy — 7 thông báo đã gửi</t>
  </si>
  <si>
    <t>GuiThongBao.jsx; RPC send_announcement_to_students trả số người nhận</t>
  </si>
  <si>
    <t>Gói VIP</t>
  </si>
  <si>
    <t>99.000 đ / 30 ngày, chuyển khoản tự gia hạn (SePay) hoặc giáo viên cấp. Mở mọi bài và bộ Flashcard trả phí; không giới hạn lượt thi thử (thường 2/ngày), AI chấm viết (3/ngày), AI chấm nói và AI nhận xét bài nói (6/24 giờ), AI chấm phát âm (20/ngày), Hỏi Leon (10/ngày). Màn thanh toán có mã VietQR (căn lại 14/10). Từ 14/10 thêm: đề thi thử ngoài Đề 1 mỗi trình độ, bài viết mẫu AI, báo cáo tiến bộ tuần, ôn lại câu sai. 15/10: trần chung 100 lượt AI mỗi ngày (chặn lạm dụng nếu tài khoản bị lộ)</t>
  </si>
  <si>
    <t>Đang chạy — chưa thử chuyển khoản thật</t>
  </si>
  <si>
    <t>migration 118, 122, 124; AvatarMenu.jsx (RPC toi_la_vip)</t>
  </si>
  <si>
    <t>Bài luyện phát âm có AI chấm</t>
  </si>
  <si>
    <t>400 bài, AI chấm phát âm và trôi chảy (công bố 10/10)</t>
  </si>
  <si>
    <t>200 câu A1–B2 (50 mỗi trình độ, 10/10) tập trung âm khó với người Việt (âm mũi, r, u/ou, nối âm), có mẹo từng câu; học sinh đọc, AI chép lại và so từng từ (đo « máy nghe ra đúng bao nhiêu từ », không bịa điểm phát âm); 20 lượt/ngày, VIP không giới hạn; bản ghi âm không lưu. Câu mẫu giọng tổng hợp. 15/10: thêm C1 (51 câu, chuỗi âm mũi và nối âm khó, có mẹo tiếng Việt)</t>
  </si>
  <si>
    <t>Đang chạy — đã thử bằng audio thật, chưa có học sinh dùng</t>
  </si>
  <si>
    <t>cham-phat-am, cau_luyen (migration 131), _shared/soCau.js; NgheNoi.jsx</t>
  </si>
  <si>
    <t>Chép chính tả / nghe điền từ</t>
  </si>
  <si>
    <t>200 + 200 bài, audio bản xứ</t>
  </si>
  <si>
    <t>200 câu chép chính tả + 200 câu nghe điền từ RIÊNG (11/10, không trùng câu chép chính tả; trước đó dạng điền từ dùng lại câu chép), A1–B2, 50 mỗi trình độ, có audio và nghĩa tiếng Việt. 15/10: thêm trình độ C1 (50 + 50 câu dài, văn viết, đọc nhanh như người bản xứ)</t>
  </si>
  <si>
    <t>Đang chạy — chưa có học sinh dùng</t>
  </si>
  <si>
    <t>cau_luyen loai dien_tu (migration 133); scripts/nghe-noi/cau3.mjs; đo: 0 câu trùng</t>
  </si>
  <si>
    <t>Bài học ngữ pháp công khai</t>
  </si>
  <si>
    <t>Có trang « Ngữ pháp tiếng Pháp », đọc không cần đăng nhập (FAQ 10/10)</t>
  </si>
  <si>
    <t>Mục « Học ngữ pháp »: 83 bài A0 đến C1 (A0 10, A1 16, A2 15, B1 16, B2 13, C1 13), chia CHI TIẾT 374 phần nhỏ, 2 974 câu luyện 5 dạng; chấm linh hoạt. A0 thêm 7 bài nền tảng (có bài về các ngôi trong tiếng Pháp). Trang công khai /ngu-phap: 19 bài không cần đăng nhập, có tiêu đề / mô tả / dữ liệu cấu trúc riêng, sitemap.xml + robots.txt. Bài kiểm tra xếp trình độ 20 câu. Câu ví dụ A0–A2 có âm thanh. Báo lỗi câu, ôn câu sai giãn cách (VIP), gợi ý bài ngữ pháp sau Luyện tập và Thi thử, tiến độ trên trang chủ. 18/10 tối: 25 trang công khai DỰNG SẴN HTML lúc build (Google đọc được không cần chạy JS), tên miền chính www.fracile.vn</t>
  </si>
  <si>
    <t>Đang chạy — chưa có học sinh dùng; nội dung chưa qua giáo viên duyệt; sitemap chưa gửi Google Search Console</t>
  </si>
  <si>
    <t>NguPhap.jsx, content/nguPhap/ (a0them.js, chiTiet*.js, index.js), shared/seo.js, public/sitemap.xml, migration 148, 149</t>
  </si>
  <si>
    <t>Bộ Flashcard trả phí</t>
  </si>
  <si>
    <t>KHÔNG CÓ (chủ dự án xác nhận 10/10; mọi tính năng Vivoire miễn phí)</t>
  </si>
  <si>
    <t>Giáo viên đặt bộ trả phí + giá; học sinh mua bằng chuyển khoản (tự mở khoá khi tiền về), VIP mở hết, giáo viên cấp/thu quyền từng học sinh; thẻ khoá ở database</t>
  </si>
  <si>
    <t>migration 128, 130; webhook SePay mã BO&lt;4&gt;</t>
  </si>
  <si>
    <t>Thách đấu theo chủ đề từ vựng / ngữ pháp</t>
  </si>
  <si>
    <t>KHÔNG CÓ (chủ dự án xác nhận 10/10; Vivoire chỉ có đấu dịch thuật)</t>
  </si>
  <si>
    <t>Chọn 1 trong 7 chủ đề (3 từ vựng, 4 ngữ pháp và diễn đạt); máy chủ gộp thẻ mọi bộ cùng chủ đề, rút ngẫu nhiên 10 câu, phương án cùng dạng; giáo viên xếp bộ vào chủ đề và soạn nghĩa sai. 13/10: thêm 14 chủ đề từ vựng lấy từ Lộ trình (21 chủ đề), 16 bộ « Từ vựng Lộ trình » 800 thẻ, nhiễu cùng loại từ (thêm dạng Tính từ, Thành ngữ)</t>
  </si>
  <si>
    <t>Đang chạy — chưa có trận theo chủ đề nào chơi thật</t>
  </si>
  <si>
    <t>migration 127–129; tao_thach_dau_chu_de; migration 141</t>
  </si>
  <si>
    <t>Linh vật đồng hành</t>
  </si>
  <si>
    <t>KHÔNG CÓ (chủ dự án xác nhận 10/10)</t>
  </si>
  <si>
    <t>Leon (bulldog Pháp áo sọc): logo, favicon, 24 sticker cảm xúc; có mặt ở mọi thẻ, phần hướng dẫn lần đầu, trang giới thiệu, đăng nhập; phản ứng theo đúng/sai trong Lộ trình, Thách đấu, Flashcard; lời động viên trong phiếu AI chấm; sticker trong nhận xét giáo viên</t>
  </si>
  <si>
    <t>shared/leon.jsx, public/leon/*.webp</t>
  </si>
  <si>
    <t>Hiệu ứng âm thanh khi học</t>
  </si>
  <si>
    <t>Âm thanh cho Lộ trình, Thách đấu, Flashcard, Luyện tập, Thi thử (nhắc còn 5 phút, 1 phút, hết giờ) và kết quả; tổng hợp bằng Web Audio nên không tải thêm file; nút tắt/bật dùng chung, trình duyệt nhớ lựa chọn</t>
  </si>
  <si>
    <t>Đang chạy — chưa nghe thử trên máy thật</t>
  </si>
  <si>
    <t>shared/amThanh.js, shared/NutTieng.jsx</t>
  </si>
  <si>
    <t>Trợ lý AI hỏi đáp</t>
  </si>
  <si>
    <t>« Hỏi Leon »: trợ lý AI ngay trong web, giải thích ngữ pháp và từ vựng, sửa câu tiếng Pháp, trả lời theo ngôn ngữ giao diện, nhớ 6 lượt gần nhất; không giải hộ bài đang làm; ẩn khi thi thử. 10 câu/ngày, VIP không giới hạn</t>
  </si>
  <si>
    <t>Đang chạy — 11 câu hỏi thật đã được trả lời (đo 10/10)</t>
  </si>
  <si>
    <t>Edge Function hoi-leon, bảng leon_hoi (migration 125), shared/HoiLeon.jsx</t>
  </si>
  <si>
    <t>Đóng băng chuỗi ngày học</t>
  </si>
  <si>
    <t>Ngày không làm bài tự đóng băng để giữ chuỗi, 5 lần mỗi tháng; lỡ ngày thứ 6 thì đứt. Widget hiện ô bông tuyết + « còn X/5 lần tháng này ». Lịch sử đóng băng lưu thành bảng nên chuỗi đã đứt trước đó cũng trừ vào ngân sách tháng</t>
  </si>
  <si>
    <t>migration 138, 139 (chuoi_dong_bang, _chuoi_tinh); StreakWidget.jsx</t>
  </si>
  <si>
    <t>Phần thi nói được chấm điểm</t>
  </si>
  <si>
    <t>Như phần viết: mở trang Kết quả thi là AI chấm tự động theo grille Production orale CHÍNH THỨC (A1, A2, B1, B2, C1; chép lời bản ghi rồi chọn mức từng tiêu chí), điểm tính luôn khi đủ mọi tiêu chí hợp lệ. Học sinh vẫn tự chấm lại được, có AI gợi ý từng tiêu chí; điểm tự chấm thay điểm AI. Máy chủ tự cộng và từ chối giá trị không có trên grille</t>
  </si>
  <si>
    <t>Đang chạy: chưa có bài nói nào chấm thật</t>
  </si>
  <si>
    <t>grillePO.js + _thang_po(), Edge Function cham-po (chinhThuc), migration 135, 136, 142; POSelfEvaluation.jsx</t>
  </si>
  <si>
    <t>Bốc thăm đề nói + thời gian chuẩn bị</t>
  </si>
  <si>
    <t>Như phòng thi thật: A1 bốc 1 thẻ, A2–C1 bốc 2 chọn 1 (kho 4 đề mỗi phần, 13 đề thi); đồng hồ chuẩn bị 10/10/10/30/60 phút có giấy nháp, hết giờ tự sang ghi âm; F5 không bốc lại được; đề đã chọn lưu kèm bài để tự chấm và AI biết bài nói trả lời đề nào</t>
  </si>
  <si>
    <t>Đang chạy — đã bấm thử trên trang xem thử</t>
  </si>
  <si>
    <t>BocThamNoi.jsx, meta.bocTham (lô 17), po_cham.de_boc (migration 137); 14/10 sửa lỗi toRows làm mất bocTham (5 đề lô 18 nạp lại), check:exercises canh</t>
  </si>
  <si>
    <t>Giao diện thi giống tờ đề thật</t>
  </si>
  <si>
    <t>Đối chiếu từng trang đề mẫu TP56: giấy trắng chữ đen, phông Roboto Condensed, dải « DOCUMENT RÉSERVÉ AU CANDIDAT », ô số phần + « ▶ EXERCICE », phương án « A ☐ », dòng chấm, giấy kẻ dòng, « Nombre de mots », chân trang « Page x sur y », nút chuyển bài kiểu tờ đề</t>
  </si>
  <si>
    <t>ExamMode.jsx (PhanThi), styles/base.css (.de-giay)</t>
  </si>
  <si>
    <t>Bàn phím ký tự tiếng Pháp</t>
  </si>
  <si>
    <t>Bảng é è ê à â ç î ï ô û ù ë œ (+ chữ hoa) nổi ở đáy màn hình khi gõ vào ô viết tiếng Pháp: luyện tập, bài được giao, thi thử, màn soạn bài của giáo viên (tắt ở ô giải thích tiếng Việt). 15/10: hàng ký tự nằm ngay trong giấy nháp khi thi, không che đề</t>
  </si>
  <si>
    <t>shared/BangDauPhap.jsx (lang="fr")</t>
  </si>
  <si>
    <t>Theo dõi từng học sinh</t>
  </si>
  <si>
    <t>Mỗi học sinh: hoạt động gần nhất, chuỗi ngày, bài và giờ học 7 ngày, điểm TB, XP, VIP, kết quả thi thử gần nhất (Đạt/Trượt theo luật DELF); cờ « Cần quan tâm » (quá 7 ngày không học hoặc trượt); nút Nhắn tin, Giao bài, trang Chi tiết (điểm theo kỹ năng, câu sai nhiều nhất, 30 lượt gần nhất). Sửa lỗi « Jamais connecté » (ghép theo tên → theo id)</t>
  </si>
  <si>
    <t>Đang chạy — chưa mở bằng tài khoản giáo viên thật</t>
  </si>
  <si>
    <t>TheoDoiHocSinh.jsx; RPC tong_quan_hoc_sinh, chi_tiet_hoc_sinh (migration 134)</t>
  </si>
  <si>
    <t>Kho bài thi thử tách khỏi thư viện</t>
  </si>
  <si>
    <t>Bài trong đề thi thử nằm ở kho riêng: học sinh không thấy trong thư viện luyện tập, tìm kiếm cũng không ra; giáo viên soạn/sửa ở tab « Bài thi thử », màn soạn đề chỉ ghép bài từ kho này</t>
  </si>
  <si>
    <t>migration 140; PracticeHub.jsx (kho), ExamComposer.jsx</t>
  </si>
  <si>
    <t>Hồ sơ khi mới đăng ký</t>
  </si>
  <si>
    <t>Tài khoản đăng ký từ 13/10 gặp hộp « Hoàn thiện hồ sơ » ngay khi vào (họ, tên, trình độ, mục tiêu bắt buộc; ngày sinh, điện thoại, trường tuỳ chọn); « Để sau » chỉ ẩn trong phiên</t>
  </si>
  <si>
    <t>Đang chạy — chưa thử với tài khoản mới thật</t>
  </si>
  <si>
    <t>shared/HoanThienHoSo.jsx</t>
  </si>
  <si>
    <t>Giấy nháp và bút tô sáng khi thi</t>
  </si>
  <si>
    <t>Giấy nháp kẻ dòng nổi cạnh đề cho phần Nghe, Đọc, Viết (không chấm, không nộp, giữ khi tải lại trang); bút tô sáng vàng trên bài đọc, bấm để bỏ tô, giữ khi chuyển bài</t>
  </si>
  <si>
    <t>GiayNhap.jsx, VanBanToSang.jsx</t>
  </si>
  <si>
    <t>Chặn dán vào bài viết tự luận</t>
  </si>
  <si>
    <t>Mọi ô bài viết (thi thử, luyện tập, bài được giao) chặn Ctrl+V, dán chuột phải và kéo-thả chữ, báo lý do ngay dưới ô; ô chép câu chứng minh Vrai/Faux không bị chặn</t>
  </si>
  <si>
    <t>Đang chạy — chưa thử trên ô bài viết thật</t>
  </si>
  <si>
    <t>shared/chanDan.js, KhungViet.jsx, ExamMode.jsx</t>
  </si>
  <si>
    <t>Đề thi thử theo gói</t>
  </si>
  <si>
    <t>Tài khoản thường làm Đề 1 mỗi trình độ (A1–C1); các đề khác hiện nhãn « Cần VIP » và nút nâng cấp. Máy chủ chặn thật</t>
  </si>
  <si>
    <t>migration 143 (exams.chi_vip, bat_dau_thi/exam_start trả CAN_VIP); claim giả: thường Đề 2 → CAN_VIP, Đề 1 → được</t>
  </si>
  <si>
    <t>Bài viết mẫu từ bài của học sinh (VIP)</t>
  </si>
  <si>
    <t>AI viết lại CHÍNH bài viết của học sinh ở đúng trình độ đề, giữ ý và bố cục, kèm từng chỗ đã sửa và lý do; mỗi bài một bản, xem lại không tốn thêm</t>
  </si>
  <si>
    <t>Đang chạy: chưa có bài nào tạo mẫu thật</t>
  </si>
  <si>
    <t>Edge Function viet-mau, bảng bai_viet_mau; BaiVietMau.jsx ở trang Kết quả thi</t>
  </si>
  <si>
    <t>Báo cáo tiến bộ tuần (VIP)</t>
  </si>
  <si>
    <t>Bài đã nộp, thời gian, số ngày học trong 7 ngày; điểm từng kỹ năng so với tuần trước; câu hay sai lặp lại; 3 bài gợi ý cho kỹ năng yếu nhất</t>
  </si>
  <si>
    <t>RPC bao_cao_tuan (143); trang /etudiant/tien-bo</t>
  </si>
  <si>
    <t>Ôn lại câu sai (VIP)</t>
  </si>
  <si>
    <t>Danh sách câu mà lần trả lời gần nhất vẫn sai, kèm lời giải, số lần sai, nút làm lại bài; làm đúng thì câu tự rời danh sách</t>
  </si>
  <si>
    <t>Đang chạy: tài khoản VIP thử thấy 9 câu</t>
  </si>
  <si>
    <t>RPC cau_sai_cua_toi (143); trang /etudiant/tien-bo</t>
  </si>
  <si>
    <t>Lịch học</t>
  </si>
  <si>
    <t>Lịch tuần đủ 24 giờ; hạn nộp bài được giao tự hiện; học sinh đặt lịch gắn với một phần (Lộ trình, Luyện tập, Flashcard, Thi thử, Nghe &amp; Nói, Thách đấu), bấm vào sự kiện là mở thẳng phần đó; bộ chọn ngày và giờ cùng kiểu giao diện</t>
  </si>
  <si>
    <t>CalendarView.jsx, ChonGio.jsx (14/10)</t>
  </si>
  <si>
    <t>Đề xuất bài theo trình độ và mục tiêu</t>
  </si>
  <si>
    <t>Chưa kiểm chứng</t>
  </si>
  <si>
    <t>Trang chủ chọn 4 bài theo trình độ hiện tại + mục tiêu (DELF/DALF, du học, đi làm, du lịch…): bậc chính, 1 bài thử sức bậc kế tiếp, kỹ năng mục tiêu đòi hỏi, kỹ năng yếu nhất, bài chưa làm; dòng kế hoạch giải thích vì sao</t>
  </si>
  <si>
    <t>shared/deXuat.js (15/10)</t>
  </si>
  <si>
    <t>Rà soát bảo mật</t>
  </si>
  <si>
    <t>Rà 17 nhóm (vibe-check, 15/10): thêm CSP và header bảo mật (quét trang 0 lỗi), khoá blob đáp án cũ lộ qua khoá anon, khoá dữ liệu riêng giữa học sinh, ẩn danh sách mua bài, lọc HTML bài học sinh, vá thư viện lỗ hổng mức cao; báo cáo ở security/</t>
  </si>
  <si>
    <t>migration 144–146, vercel.json, security/AUDIT_SUMMARY.md</t>
  </si>
  <si>
    <t>Tô sáng và sổ từ mới khi làm bài luyện tập / bài được giao</t>
  </si>
  <si>
    <t>KHÔNG CÓ (chưa thấy nêu)</t>
  </si>
  <si>
    <t>Bôi đen chữ trong đề, văn bản, câu hỏi: « Tô sáng » hoặc « Ghi vào sổ từ » (kèm nghĩa); nút bút tô (bật là bôi đen tô luôn) và nút sổ từ có số đếm, nằm ngay dưới văn bản đọc. Lưu theo tài khoản nên nộp bài xong, tải lại, đổi máy vẫn xem lại được; xem sổ từ của bài hoặc của mọi bài. 23/10: nút bút tô và sổ từ chuyển lên đầu khung văn bản; màn làm bài làm lại (đề bài có biểu tượng, câu hỏi có số và ô A/B/C/D), thu vào giữa trang</t>
  </si>
  <si>
    <t>Mới 20/10, chưa thử bằng tài khoản học sinh thật</t>
  </si>
  <si>
    <t>Bảng so_tu (migration 151, 152, RLS chỉ chủ dòng), screens/practice/SoTuMoi.jsx, CSS Custom Highlight API</t>
  </si>
  <si>
    <t>TÀI KHOẢN GIÁO VIÊN — giữ để KIỂM SOÁT, không để CHẤM BÀI</t>
  </si>
  <si>
    <t>Quyết định của chủ dự án ngày 09/09/2026: giữ tài khoản giáo viên để quản lý số lượng học sinh và quyền truy cập; bỏ hoàn toàn việc giáo viên chấm bài. Học sinh tự chấm theo grille DELF; AI gợi ý chấm đã dựng nhưng chưa bật (thiếu khoá API).</t>
  </si>
  <si>
    <t>Quyền / màn hình</t>
  </si>
  <si>
    <t>Đường dẫn</t>
  </si>
  <si>
    <t>Quyết định</t>
  </si>
  <si>
    <t>Tình trạng mã nguồn HÔM NAY</t>
  </si>
  <si>
    <t>Ghi chú</t>
  </si>
  <si>
    <t>Bật/tắt quyền học từng bài cho một học sinh</t>
  </si>
  <si>
    <t>AccessPanel (trong dashboard)</t>
  </si>
  <si>
    <t>GIỮ — DỰNG LẠI</t>
  </si>
  <si>
    <t>Đang chạy — giao diện mới 08/10</t>
  </si>
  <si>
    <t>QuyenBaiTap.jsx: theo bài / theo học sinh, cấp theo nhóm. Quyền học sinh tự mua không gỡ được.</t>
  </si>
  <si>
    <t>Bật/tắt trọn gói cho một học sinh</t>
  </si>
  <si>
    <t>AccessPanel</t>
  </si>
  <si>
    <t>GIỮ</t>
  </si>
  <si>
    <t>profiles.has_premium_access — mở cả những bài chưa tồn tại lúc bật.</t>
  </si>
  <si>
    <t>Soạn / sửa / xoá bài trong thư viện</t>
  </si>
  <si>
    <t>/professeur/dashboard → Builder</t>
  </si>
  <si>
    <t>Đang chạy — sửa lỗi lưu 26/09</t>
  </si>
  <si>
    <t>LƯU BÀI HỎNG 24–26/09 (upsert từ client bị từ chối vì cột đáp án bị khoá). Nay ghi qua RPC luu_cau_hoi (104), một transaction; đã thử bằng claim giả, CHƯA thử lại qua giao diện. Form đã dịch ba thứ tiếng.</t>
  </si>
  <si>
    <t>/professeur/examens</t>
  </si>
  <si>
    <t>Ghép bài vào 4 phần CO/CE/PE/PO, đặt phút và điểm từng phần.</t>
  </si>
  <si>
    <t>Soạn thang chấm riêng cho một đề</t>
  </si>
  <si>
    <t>/professeur/grille</t>
  </si>
  <si>
    <t>CÀNG quan trọng khi học sinh tự chấm — thang là thứ duy nhất hướng dẫn họ.</t>
  </si>
  <si>
    <t>Viết lời giải thích, xếp theo số học sinh sai</t>
  </si>
  <si>
    <t>/professeur/loi-giai</t>
  </si>
  <si>
    <t>ĐÃ GỠ</t>
  </si>
  <si>
    <t>Không còn trong menu</t>
  </si>
  <si>
    <t>Gỡ 07/10: AI chấm và giải thích thay. Dữ liệu lời giải giữ nguyên.</t>
  </si>
  <si>
    <t>Đặt neo đáp án vào ngữ liệu</t>
  </si>
  <si>
    <t>/professeur/neo</t>
  </si>
  <si>
    <t>Đang chạy — giao diện mới 07/10</t>
  </si>
  <si>
    <t>Lưới bài + màn 3 cột (danh sách câu · đoạn văn · neo và xem trước).</t>
  </si>
  <si>
    <t>Sổ tay / mẹo</t>
  </si>
  <si>
    <t>/professeur/carnet</t>
  </si>
  <si>
    <t>Gỡ 07/10 theo chủ dự án; mẹo cũ vẫn hiện cho học sinh.</t>
  </si>
  <si>
    <t>/professeur/bo-the</t>
  </si>
  <si>
    <t>Lưới bộ lọc theo kỹ năng; thêm từng thẻ hoặc dán nhiều dòng; sửa thẻ tại chỗ.</t>
  </si>
  <si>
    <t>Xem câu hỏi / đăng ký tư vấn</t>
  </si>
  <si>
    <t>/professeur/lien-he</t>
  </si>
  <si>
    <t>Gỡ 07/10; bảng leads còn nguyên.</t>
  </si>
  <si>
    <t>Nghe bản ghi âm bài nói của học sinh</t>
  </si>
  <si>
    <t>/professeur/oral</t>
  </si>
  <si>
    <t>Không còn trong mã</t>
  </si>
  <si>
    <t>Gỡ 23/09 theo quyết định chủ dự án. Học sinh vẫn ghi âm để tự nghe lại.</t>
  </si>
  <si>
    <t>Tạo / xoá tài khoản học sinh</t>
  </si>
  <si>
    <t>/professeur (Theo dõi học sinh)</t>
  </si>
  <si>
    <t>Không còn nút</t>
  </si>
  <si>
    <t>Gỡ 24/09: ô « Créer le compte » và nút « Supprimer ». Học sinh tự đăng ký; giáo viên chỉ theo dõi, xếp lớp, gửi link đổi mật khẩu.</t>
  </si>
  <si>
    <t>Thống kê lớp</t>
  </si>
  <si>
    <t>/professeur (Thống kê)</t>
  </si>
  <si>
    <t>Dựng lại 24/09: KPI, phân bố điểm, TB theo kỹ năng, top học sinh, bảng xu hướng. 02/10: thêm tổng quan 7 ngày (4 thẻ có xu hướng so tuần trước), biểu đồ hoạt động, radar kỹ năng, xuất CSV, và ĐỒNG BỘ GOOGLE SHEETS tự động (máy chủ ghi 3 trang tính qua Apps Script — cần chủ dự án nối một lần theo docs/google-sheets/HUONG-DAN.md).</t>
  </si>
  <si>
    <t>Chấm bài viết của học sinh</t>
  </si>
  <si>
    <t>/professeur/copies</t>
  </si>
  <si>
    <t>Gỡ 09/09/2026: route, mục menu, PEGrading.jsx và khoá nav.grading ở cả bốn từ điển. Gỡ CẢ mục menu chứ không giấu lối vào — check:nav bắt lỗi route không ai vào được.</t>
  </si>
  <si>
    <t>Ô « Bài cần chấm » trên trang chủ giáo viên</t>
  </si>
  <si>
    <t>/professeur/dashboard</t>
  </si>
  <si>
    <t>Con số không sai, nhưng nó đếm một việc không ai làm được nữa và tô màu cảnh báo cho nó. Danh sách « Bài nộp gần đây » ngay dưới vẫn ghi rõ bài nào chưa có điểm.</t>
  </si>
  <si>
    <t>Nhãn trạng thái trên từng dòng bài nộp</t>
  </si>
  <si>
    <t>ĐÃ ĐỔI CHỮ</t>
  </si>
  <si>
    <t>« Chờ chấm » → « Chưa chấm » (Non noté / Not marked): mô tả trạng thái thay vì hứa một hành động sẽ không xảy ra.</t>
  </si>
  <si>
    <t>Quản lý gói VIP</t>
  </si>
  <si>
    <t>/professeur/eleves</t>
  </si>
  <si>
    <t>Đang chạy — mới 07/10</t>
  </si>
  <si>
    <t>Xem ai đang VIP, +30 ngày, thu hồi; ghi vào vip_giao_dich (122).</t>
  </si>
  <si>
    <t>Gửi thông báo</t>
  </si>
  <si>
    <t>/professeur/thong-bao</t>
  </si>
  <si>
    <t>Đang chạy — trang mới 08/10</t>
  </si>
  <si>
    <t>Thay hộp nổi cũ; có lịch sử và số đã đọc.</t>
  </si>
  <si>
    <t>Tạo lớp / xếp lớp</t>
  </si>
  <si>
    <t>Gỡ 07/10 theo chủ dự án; dữ liệu mcf-classes còn nguyên.</t>
  </si>
  <si>
    <t>Thư viện luyện tập (mục riêng)</t>
  </si>
  <si>
    <t>/professeur/exercices</t>
  </si>
  <si>
    <t>Gộp thành tab thứ hai trong « Bài tập » 07/10.</t>
  </si>
  <si>
    <t>MỘT CÂU PHẢI NÓI THẲNG</t>
  </si>
  <si>
    <t xml:space="preserve">Bỏ giáo viên chấm bài chưa tự động thành « AI chấm ». Chấm AI đã DỰNG (Edge Function cham-pe) nhưng CHƯA CHẠY: thiếu khoá ANTHROPIC_API_KEY, gọi vào nhận 503 CHUA_CAU_HINH_KHOA, và bảng gợi ý có 0 dòng (đo 21/09).
Nên kể từ 09/09, bài viết của học sinh chỉ còn MỘT đường: tự chấm theo grille DELF. Khoảng trống này kéo dài đúng bằng thời gian tới khi đặt khoá — việc số 1 trong sheet « Việc cần làm ».
Và 8 bài tự luận đã nộp chưa có điểm nào — không điểm giáo viên, không điểm tự chấm. Chưa ai báo gì cho người viết chúng.</t>
  </si>
  <si>
    <t>SỐ LIỆU ĐO THẬT — không con số nào ở đây là ước lượng</t>
  </si>
  <si>
    <t>Chỉ số</t>
  </si>
  <si>
    <t>Giá trị</t>
  </si>
  <si>
    <t>Cách đo</t>
  </si>
  <si>
    <t>Ngày đo</t>
  </si>
  <si>
    <t>Bài tập</t>
  </si>
  <si>
    <t>select count(*) from exercises — 68 thư viện luyện tập + 93 kho thi thử (14/10)</t>
  </si>
  <si>
    <t>13/10/2026</t>
  </si>
  <si>
    <t>Câu hỏi</t>
  </si>
  <si>
    <t>select count(*) from questions</t>
  </si>
  <si>
    <t>Câu có lời giải thích</t>
  </si>
  <si>
    <t>questions where explanation is not null</t>
  </si>
  <si>
    <t>08/10/2026</t>
  </si>
  <si>
    <t>Câu có neo ngữ liệu</t>
  </si>
  <si>
    <t>questions where evidence is not null</t>
  </si>
  <si>
    <t>Đề thi thử</t>
  </si>
  <si>
    <t>select count(*) from exams where is_published — 14/10</t>
  </si>
  <si>
    <t>Lượt làm bài đã chấm</t>
  </si>
  <si>
    <t>attempts where finished_at is not null</t>
  </si>
  <si>
    <t>Bộ Flashcard (cả 12 công khai)</t>
  </si>
  <si>
    <t>select count(*) from the_bo where cong_khai</t>
  </si>
  <si>
    <t>26/09/2026</t>
  </si>
  <si>
    <t>Thẻ trong các bộ</t>
  </si>
  <si>
    <t>select count(*) from the_bo_the</t>
  </si>
  <si>
    <t>Thẻ trong bảng cards</t>
  </si>
  <si>
    <t>select count(*) from cards — 36 thẻ đi theo hai tài khoản thử đã xoá</t>
  </si>
  <si>
    <t>24/09/2026</t>
  </si>
  <si>
    <t>Lượt trả lời đã ghi</t>
  </si>
  <si>
    <t>select count(*) from answers — 50 đi theo tài khoản thử, ~70 mất vì lỗi lưu bài (đã sửa)</t>
  </si>
  <si>
    <t>Tài khoản</t>
  </si>
  <si>
    <t>select count(*) from profiles</t>
  </si>
  <si>
    <t>Lượt đổi XP lấy bài</t>
  </si>
  <si>
    <t>exercise_access where status='XP'</t>
  </si>
  <si>
    <t>Lượt theo dõi bạn học</t>
  </si>
  <si>
    <t>select count(*) from follows</t>
  </si>
  <si>
    <t>Bài tự luận CHƯA có điểm nào</t>
  </si>
  <si>
    <t>câu open, không điểm GV lẫn tự chấm. 7/8 thuộc 2 tài khoản thử của chủ dự án; 1 bài của học sinh thật, dài 12 ký tự</t>
  </si>
  <si>
    <t>21/09/2026</t>
  </si>
  <si>
    <t>Lượt ôn Flashcard đã ghi</t>
  </si>
  <si>
    <t>reviews có reps &gt; 0 trên thẻ bo_giao_vien — 2 lượt cũ thuộc tài khoản thử đã xoá</t>
  </si>
  <si>
    <t>Gợi ý chấm AI đã sinh</t>
  </si>
  <si>
    <t>select count(*) from pe_ai_goi_y — gpt-6-luna, bật 27/09</t>
  </si>
  <si>
    <t>27/09/2026</t>
  </si>
  <si>
    <t>Giao dịch VIP</t>
  </si>
  <si>
    <t>select count(*) from vip_giao_dich</t>
  </si>
  <si>
    <t>Lượt thi thử đã mở (từ 07/10)</t>
  </si>
  <si>
    <t>select count(*) from luot_thi</t>
  </si>
  <si>
    <t>Thông báo đã gửi (dòng người nhận)</t>
  </si>
  <si>
    <t>notifications where type='announcement'</t>
  </si>
  <si>
    <t>Câu luyện Nghe &amp; Nói</t>
  </si>
  <si>
    <t>select count(*) from cau_luyen — 200 chép chính tả + 200 điền từ + 200 phát âm</t>
  </si>
  <si>
    <t>Tỷ lệ câu có lời giải</t>
  </si>
  <si>
    <t>= câu có lời giải ÷ tổng câu hỏi</t>
  </si>
  <si>
    <t>Số câu còn thiếu lời giải</t>
  </si>
  <si>
    <t>Trong đó 25 câu vf vốn đã có justification sẵn</t>
  </si>
  <si>
    <t>VIVOIRE — họ công bố, tôi KHÔNG kiểm chứng được</t>
  </si>
  <si>
    <t>Nguồn</t>
  </si>
  <si>
    <t>Độ tin</t>
  </si>
  <si>
    <t>Bài chép chính tả</t>
  </si>
  <si>
    <t>200</t>
  </si>
  <si>
    <t>trang chủ</t>
  </si>
  <si>
    <t>họ tự công bố</t>
  </si>
  <si>
    <t>Bài nghe điền từ</t>
  </si>
  <si>
    <t>Cấp độ</t>
  </si>
  <si>
    <t>A1 → C2</t>
  </si>
  <si>
    <t>Học viên một lớp</t>
  </si>
  <si>
    <t>28</t>
  </si>
  <si>
    <t>ảnh minh hoạ trên trang chủ</t>
  </si>
  <si>
    <t>ẢNH MINH HOẠ — không phải số thật</t>
  </si>
  <si>
    <t>Phản hồi AI bài nói</t>
  </si>
  <si>
    <t>Phát âm 82% · Trôi chảy 76%</t>
  </si>
  <si>
    <t>ảnh minh hoạ</t>
  </si>
  <si>
    <t>Khối đếm trên trang chủ</t>
  </si>
  <si>
    <t>hiện 0</t>
  </si>
  <si>
    <t>đọc trực tiếp DOM 09/09</t>
  </si>
  <si>
    <t>gần như chắc chắn là hiệu ứng đếm chưa chạy</t>
  </si>
  <si>
    <t>RÚT RA TỪ BẢNG — xếp theo thứ tự nên làm</t>
  </si>
  <si>
    <t>#</t>
  </si>
  <si>
    <t>Việc</t>
  </si>
  <si>
    <t>Vì sao đứng ở vị trí này</t>
  </si>
  <si>
    <t>Chạm vào đâu</t>
  </si>
  <si>
    <t>Công sức</t>
  </si>
  <si>
    <t>Thi thử một đề có bật phần nói rồi tự chấm</t>
  </si>
  <si>
    <t>Phần nói chấm điểm, bốc thăm, chuẩn bị và AI gợi ý mới dựng 12–13/10; database 13/10: 0 bài nói đã tự chấm.</t>
  </si>
  <si>
    <t>Thi thử → bật « Làm cả phần thi nói » → Kết quả thi → « Tự chấm phần nói »</t>
  </si>
  <si>
    <t>40 phút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</si>
</sst>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4" x14ac:knownFonts="1">
    <font>
      <color theme="1"/>
      <family val="2"/>
      <scheme val="minor"/>
      <sz val="11"/>
      <name val="Calibri"/>
    </font>
    <font>
      <b/>
      <color rgb="FF1F3864"/>
      <sz val="16"/>
      <name val="Arial"/>
    </font>
    <font>
      <i/>
      <color rgb="FF595959"/>
      <sz val="9"/>
      <name val="Arial"/>
    </font>
    <font>
      <b/>
      <color rgb="FFFFFFFF"/>
      <sz val="10"/>
      <name val="Arial"/>
    </font>
    <font>
      <b/>
      <sz val="10"/>
      <name val="Arial"/>
    </font>
    <font>
      <sz val="10"/>
      <name val="Arial"/>
    </font>
    <font>
      <b/>
      <color rgb="FFC00000"/>
      <sz val="9"/>
      <name val="Arial"/>
    </font>
    <font>
      <b/>
      <sz val="9"/>
      <name val="Arial"/>
    </font>
    <font>
      <sz val="9"/>
      <name val="Arial"/>
    </font>
    <font>
      <b/>
      <color rgb="FF1F3864"/>
      <sz val="10"/>
      <name val="Arial"/>
    </font>
    <font>
      <color rgb="FF595959"/>
      <sz val="8"/>
      <name val="Arial"/>
    </font>
    <font>
      <b/>
      <color rgb="FF1F3864"/>
      <sz val="14"/>
      <name val="Arial"/>
    </font>
    <font>
      <b/>
      <color rgb="FFC00000"/>
      <sz val="10"/>
      <name val="Arial"/>
    </font>
    <font>
      <i/>
      <sz val="9"/>
      <name val="Arial"/>
    </font>
  </fonts>
  <fills count="7">
    <fill>
      <patternFill patternType="none"/>
    </fill>
    <fill>
      <patternFill patternType="gray125"/>
    </fill>
    <fill>
      <patternFill patternType="solid">
        <fgColor rgb="FF1F3864"/>
      </patternFill>
    </fill>
    <fill>
      <patternFill patternType="solid">
        <fgColor rgb="FFD9E2F3"/>
      </patternFill>
    </fill>
    <fill>
      <patternFill patternType="solid">
        <fgColor rgb="FFE2EFDA"/>
      </patternFill>
    </fill>
    <fill>
      <patternFill patternType="solid">
        <fgColor rgb="FFFCE4E4"/>
      </patternFill>
    </fill>
    <fill>
      <patternFill patternType="solid">
        <fgColor rgb="FFFFFF0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1" xfId="0" applyFont="1" applyBorder="1"/>
    <xf numFmtId="1" fontId="5" fillId="0" borderId="1" xfId="0" applyNumberFormat="1" applyFont="1" applyBorder="1" applyAlignment="1">
      <alignment horizontal="center"/>
    </xf>
    <xf numFmtId="2" fontId="5" fillId="0" borderId="1" xfId="0" applyNumberFormat="1" applyFont="1" applyBorder="1" applyAlignment="1">
      <alignment horizontal="center"/>
    </xf>
    <xf numFmtId="2" fontId="4" fillId="0" borderId="1" xfId="0" applyNumberFormat="1" applyFont="1" applyBorder="1" applyAlignment="1">
      <alignment horizontal="center"/>
    </xf>
    <xf numFmtId="0" fontId="4" fillId="3" borderId="1" xfId="0" applyFont="1" applyFill="1" applyBorder="1" applyAlignment="1">
      <alignment horizontal="left"/>
    </xf>
    <xf numFmtId="1" fontId="4" fillId="3" borderId="1" xfId="0" applyNumberFormat="1" applyFont="1" applyFill="1" applyBorder="1" applyAlignment="1">
      <alignment horizontal="center"/>
    </xf>
    <xf numFmtId="2" fontId="4" fillId="3" borderId="1" xfId="0" applyNumberFormat="1" applyFont="1" applyFill="1" applyBorder="1" applyAlignment="1">
      <alignment horizontal="center"/>
    </xf>
    <xf numFmtId="0" fontId="6" fillId="0" borderId="0" xfId="0" applyFont="1"/>
    <xf numFmtId="0" fontId="2" fillId="0" borderId="0" xfId="0" applyFont="1" applyAlignment="1">
      <alignment vertical="top" wrapText="1"/>
    </xf>
    <xf numFmtId="0" fontId="4"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vertical="top" wrapText="1"/>
    </xf>
    <xf numFmtId="0" fontId="8" fillId="0" borderId="0" xfId="0" applyFont="1" applyAlignment="1">
      <alignment vertical="top" wrapText="1"/>
    </xf>
    <xf numFmtId="0" fontId="7" fillId="0" borderId="1" xfId="0" applyFont="1" applyBorder="1" applyAlignment="1">
      <alignment vertical="top" wrapText="1"/>
    </xf>
    <xf numFmtId="0" fontId="4" fillId="0" borderId="1" xfId="0" applyFont="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center" vertical="top" wrapText="1"/>
    </xf>
    <xf numFmtId="0" fontId="7" fillId="0" borderId="1" xfId="0" applyFont="1" applyBorder="1" applyAlignment="1">
      <alignment horizontal="center" vertical="top" wrapText="1"/>
    </xf>
    <xf numFmtId="0" fontId="10" fillId="0" borderId="1" xfId="0" applyFont="1" applyBorder="1" applyAlignment="1">
      <alignment vertical="top" wrapText="1"/>
    </xf>
    <xf numFmtId="0" fontId="7" fillId="4" borderId="1" xfId="0" applyFont="1" applyFill="1" applyBorder="1" applyAlignment="1">
      <alignment vertical="top" wrapText="1"/>
    </xf>
    <xf numFmtId="0" fontId="4" fillId="4" borderId="1" xfId="0" applyFont="1" applyFill="1" applyBorder="1" applyAlignment="1">
      <alignment vertical="top" wrapText="1"/>
    </xf>
    <xf numFmtId="0" fontId="8" fillId="4" borderId="1" xfId="0" applyFont="1" applyFill="1" applyBorder="1" applyAlignment="1">
      <alignment vertical="top" wrapText="1"/>
    </xf>
    <xf numFmtId="0" fontId="8" fillId="4" borderId="1" xfId="0" applyFont="1" applyFill="1" applyBorder="1" applyAlignment="1">
      <alignment horizontal="center" vertical="top" wrapText="1"/>
    </xf>
    <xf numFmtId="0" fontId="7" fillId="4" borderId="1" xfId="0" applyFont="1" applyFill="1" applyBorder="1" applyAlignment="1">
      <alignment horizontal="center" vertical="top" wrapText="1"/>
    </xf>
    <xf numFmtId="0" fontId="10" fillId="4" borderId="1" xfId="0" applyFont="1" applyFill="1" applyBorder="1" applyAlignment="1">
      <alignment vertical="top" wrapText="1"/>
    </xf>
    <xf numFmtId="0" fontId="7" fillId="5" borderId="1" xfId="0" applyFont="1" applyFill="1" applyBorder="1" applyAlignment="1">
      <alignment vertical="top" wrapText="1"/>
    </xf>
    <xf numFmtId="0" fontId="4" fillId="5" borderId="1" xfId="0" applyFont="1" applyFill="1" applyBorder="1" applyAlignment="1">
      <alignment vertical="top" wrapText="1"/>
    </xf>
    <xf numFmtId="0" fontId="8" fillId="5" borderId="1" xfId="0" applyFont="1" applyFill="1" applyBorder="1" applyAlignment="1">
      <alignment vertical="top" wrapText="1"/>
    </xf>
    <xf numFmtId="0" fontId="8" fillId="5" borderId="1" xfId="0" applyFont="1" applyFill="1" applyBorder="1" applyAlignment="1">
      <alignment horizontal="center" vertical="top" wrapText="1"/>
    </xf>
    <xf numFmtId="0" fontId="7" fillId="5" borderId="1" xfId="0" applyFont="1" applyFill="1" applyBorder="1" applyAlignment="1">
      <alignment horizontal="center" vertical="top" wrapText="1"/>
    </xf>
    <xf numFmtId="0" fontId="10" fillId="5" borderId="1" xfId="0" applyFont="1" applyFill="1" applyBorder="1" applyAlignment="1">
      <alignment vertical="top" wrapText="1"/>
    </xf>
    <xf numFmtId="0" fontId="11" fillId="0" borderId="0" xfId="0" applyFont="1"/>
    <xf numFmtId="0" fontId="12" fillId="0" borderId="0" xfId="0" applyFont="1"/>
    <xf numFmtId="0" fontId="4" fillId="0" borderId="1" xfId="0" applyFont="1" applyBorder="1" applyAlignment="1">
      <alignment vertical="top"/>
    </xf>
    <xf numFmtId="0" fontId="5" fillId="0" borderId="1" xfId="0" applyFont="1" applyBorder="1" applyAlignment="1">
      <alignment horizontal="center" vertical="top"/>
    </xf>
    <xf numFmtId="0" fontId="5" fillId="0" borderId="1" xfId="0" applyFont="1" applyBorder="1" applyAlignment="1">
      <alignment vertical="top" wrapText="1"/>
    </xf>
    <xf numFmtId="0" fontId="5" fillId="0" borderId="1" xfId="0" applyFont="1" applyBorder="1" applyAlignment="1">
      <alignment vertical="top"/>
    </xf>
    <xf numFmtId="164" fontId="0" fillId="0" borderId="0" xfId="0" applyNumberFormat="1" applyAlignment="1">
      <alignment horizontal="center"/>
    </xf>
    <xf numFmtId="0" fontId="13" fillId="0" borderId="0" xfId="0" applyFont="1"/>
    <xf numFmtId="0" fontId="0" fillId="0" borderId="0" xfId="0" applyAlignment="1">
      <alignment horizontal="center"/>
    </xf>
    <xf numFmtId="0" fontId="7" fillId="6" borderId="1" xfId="0" applyFont="1" applyFill="1" applyBorder="1" applyAlignment="1">
      <alignment vertical="top" wrapText="1"/>
    </xf>
    <xf numFmtId="0" fontId="8" fillId="6"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2"/>
  <sheetFormatPr defaultRowHeight="15" outlineLevelRow="0" outlineLevelCol="0" x14ac:dyDescent="55"/>
  <cols>
    <col min="1" max="1" width="26" customWidth="1"/>
    <col min="2" max="3" width="11" customWidth="1"/>
    <col min="4" max="6" width="12" customWidth="1"/>
    <col min="7" max="7" width="15" customWidth="1"/>
  </cols>
  <sheetData>
    <row r="1" spans="1:1" x14ac:dyDescent="0.25">
      <c r="A1" s="1" t="s">
        <v>0</v>
      </c>
    </row>
    <row r="2" spans="1:1" x14ac:dyDescent="0.25">
      <c r="A2" s="2" t="s">
        <v>1</v>
      </c>
    </row>
    <row r="3" spans="1:1" x14ac:dyDescent="0.25">
      <c r="A3" s="2" t="s">
        <v>2</v>
      </c>
    </row>
    <row r="4" spans="1:1" x14ac:dyDescent="0.25">
      <c r="A4" s="2" t="s">
        <v>3</v>
      </c>
    </row>
    <row r="6" ht="34" customHeight="1" spans="1:7" x14ac:dyDescent="0.25">
      <c r="A6" s="3" t="s">
        <v>4</v>
      </c>
      <c r="B6" s="3" t="s">
        <v>5</v>
      </c>
      <c r="C6" s="3" t="s">
        <v>6</v>
      </c>
      <c r="D6" s="3" t="s">
        <v>7</v>
      </c>
      <c r="E6" s="3" t="s">
        <v>8</v>
      </c>
      <c r="F6" s="3" t="s">
        <v>9</v>
      </c>
      <c r="G6" s="3" t="s">
        <v>10</v>
      </c>
    </row>
    <row r="7" ht="20" customHeight="1" spans="1:7" x14ac:dyDescent="0.25">
      <c r="A7" s="4" t="s">
        <v>11</v>
      </c>
      <c r="B7" s="5">
        <f>COUNTIF('So sánh chi tiết'!$A$2:$A$83,$A7)</f>
        <v>9</v>
      </c>
      <c r="C7" s="5">
        <f>SUMPRODUCT(('So sánh chi tiết'!$A$2:$A$83=$A7)*('So sánh chi tiết'!$D$2:$D$83&lt;&gt;"")*('So sánh chi tiết'!$F$2:$F$83&lt;&gt;""))</f>
        <v>9</v>
      </c>
      <c r="D7" s="6">
        <f>IFERROR(SUMPRODUCT(('So sánh chi tiết'!$A$2:$A$83=$A7)*('So sánh chi tiết'!$D$2:$D$83&lt;&gt;"")*('So sánh chi tiết'!$F$2:$F$83&lt;&gt;"")*'So sánh chi tiết'!$D$2:$D$83)/SUMPRODUCT(('So sánh chi tiết'!$A$2:$A$83=$A7)*('So sánh chi tiết'!$D$2:$D$83&lt;&gt;"")*('So sánh chi tiết'!$F$2:$F$83&lt;&gt;"")),"")</f>
        <v>1.1111111111111112</v>
      </c>
      <c r="E7" s="6">
        <f>IFERROR(SUMPRODUCT(('So sánh chi tiết'!$A$2:$A$83=$A7)*('So sánh chi tiết'!$D$2:$D$83&lt;&gt;"")*('So sánh chi tiết'!$F$2:$F$83&lt;&gt;"")*'So sánh chi tiết'!$F$2:$F$83)/SUMPRODUCT(('So sánh chi tiết'!$A$2:$A$83=$A7)*('So sánh chi tiết'!$D$2:$D$83&lt;&gt;"")*('So sánh chi tiết'!$F$2:$F$83&lt;&gt;"")),"")</f>
        <v>1.5555555555555556</v>
      </c>
      <c r="F7" s="6">
        <f>IFERROR(E7-D7,"")</f>
        <v>0.4444444444444444</v>
      </c>
      <c r="G7" s="7" t="str">
        <f>IF(OR(C7&lt;3,F7=""),"quá ít mục",IF(F7&gt;0.25,"FRACILE",IF(F7&lt;-0.25,"Vivoire","ngang nhau")))</f>
        <v>FRACILE</v>
      </c>
    </row>
    <row r="8" ht="20" customHeight="1" spans="1:7" x14ac:dyDescent="0.25">
      <c r="A8" s="4" t="s">
        <v>12</v>
      </c>
      <c r="B8" s="5">
        <f>COUNTIF('So sánh chi tiết'!$A$2:$A$83,$A8)</f>
        <v>11</v>
      </c>
      <c r="C8" s="5">
        <f>SUMPRODUCT(('So sánh chi tiết'!$A$2:$A$83=$A8)*('So sánh chi tiết'!$D$2:$D$83&lt;&gt;"")*('So sánh chi tiết'!$F$2:$F$83&lt;&gt;""))</f>
        <v>11</v>
      </c>
      <c r="D8" s="6">
        <f>IFERROR(SUMPRODUCT(('So sánh chi tiết'!$A$2:$A$83=$A8)*('So sánh chi tiết'!$D$2:$D$83&lt;&gt;"")*('So sánh chi tiết'!$F$2:$F$83&lt;&gt;"")*'So sánh chi tiết'!$D$2:$D$83)/SUMPRODUCT(('So sánh chi tiết'!$A$2:$A$83=$A8)*('So sánh chi tiết'!$D$2:$D$83&lt;&gt;"")*('So sánh chi tiết'!$F$2:$F$83&lt;&gt;"")),"")</f>
        <v>0.18181818181818182</v>
      </c>
      <c r="E8" s="6">
        <f>IFERROR(SUMPRODUCT(('So sánh chi tiết'!$A$2:$A$83=$A8)*('So sánh chi tiết'!$D$2:$D$83&lt;&gt;"")*('So sánh chi tiết'!$F$2:$F$83&lt;&gt;"")*'So sánh chi tiết'!$F$2:$F$83)/SUMPRODUCT(('So sánh chi tiết'!$A$2:$A$83=$A8)*('So sánh chi tiết'!$D$2:$D$83&lt;&gt;"")*('So sánh chi tiết'!$F$2:$F$83&lt;&gt;"")),"")</f>
        <v>2</v>
      </c>
      <c r="F8" s="6">
        <f>IFERROR(E8-D8,"")</f>
        <v>1.8181818181818181</v>
      </c>
      <c r="G8" s="7" t="str">
        <f>IF(OR(C8&lt;3,F8=""),"quá ít mục",IF(F8&gt;0.25,"FRACILE",IF(F8&lt;-0.25,"Vivoire","ngang nhau")))</f>
        <v>FRACILE</v>
      </c>
    </row>
    <row r="9" ht="20" customHeight="1" spans="1:7" x14ac:dyDescent="0.25">
      <c r="A9" s="4" t="s">
        <v>13</v>
      </c>
      <c r="B9" s="5">
        <f>COUNTIF('So sánh chi tiết'!$A$2:$A$83,$A9)</f>
        <v>9</v>
      </c>
      <c r="C9" s="5">
        <f>SUMPRODUCT(('So sánh chi tiết'!$A$2:$A$83=$A9)*('So sánh chi tiết'!$D$2:$D$83&lt;&gt;"")*('So sánh chi tiết'!$F$2:$F$83&lt;&gt;""))</f>
        <v>8</v>
      </c>
      <c r="D9" s="6">
        <f>IFERROR(SUMPRODUCT(('So sánh chi tiết'!$A$2:$A$83=$A9)*('So sánh chi tiết'!$D$2:$D$83&lt;&gt;"")*('So sánh chi tiết'!$F$2:$F$83&lt;&gt;"")*'So sánh chi tiết'!$D$2:$D$83)/SUMPRODUCT(('So sánh chi tiết'!$A$2:$A$83=$A9)*('So sánh chi tiết'!$D$2:$D$83&lt;&gt;"")*('So sánh chi tiết'!$F$2:$F$83&lt;&gt;"")),"")</f>
        <v>1.5</v>
      </c>
      <c r="E9" s="6">
        <f>IFERROR(SUMPRODUCT(('So sánh chi tiết'!$A$2:$A$83=$A9)*('So sánh chi tiết'!$D$2:$D$83&lt;&gt;"")*('So sánh chi tiết'!$F$2:$F$83&lt;&gt;"")*'So sánh chi tiết'!$F$2:$F$83)/SUMPRODUCT(('So sánh chi tiết'!$A$2:$A$83=$A9)*('So sánh chi tiết'!$D$2:$D$83&lt;&gt;"")*('So sánh chi tiết'!$F$2:$F$83&lt;&gt;"")),"")</f>
        <v>1.625</v>
      </c>
      <c r="F9" s="6">
        <f>IFERROR(E9-D9,"")</f>
        <v>0.125</v>
      </c>
      <c r="G9" s="7" t="str">
        <f>IF(OR(C9&lt;3,F9=""),"quá ít mục",IF(F9&gt;0.25,"FRACILE",IF(F9&lt;-0.25,"Vivoire","ngang nhau")))</f>
        <v>ngang nhau</v>
      </c>
    </row>
    <row r="10" ht="20" customHeight="1" spans="1:7" x14ac:dyDescent="0.25">
      <c r="A10" s="4" t="s">
        <v>14</v>
      </c>
      <c r="B10" s="5">
        <f>COUNTIF('So sánh chi tiết'!$A$2:$A$83,$A10)</f>
        <v>25</v>
      </c>
      <c r="C10" s="5">
        <f>SUMPRODUCT(('So sánh chi tiết'!$A$2:$A$83=$A10)*('So sánh chi tiết'!$D$2:$D$83&lt;&gt;"")*('So sánh chi tiết'!$F$2:$F$83&lt;&gt;""))</f>
        <v>23</v>
      </c>
      <c r="D10" s="6">
        <f>IFERROR(SUMPRODUCT(('So sánh chi tiết'!$A$2:$A$83=$A10)*('So sánh chi tiết'!$D$2:$D$83&lt;&gt;"")*('So sánh chi tiết'!$F$2:$F$83&lt;&gt;"")*'So sánh chi tiết'!$D$2:$D$83)/SUMPRODUCT(('So sánh chi tiết'!$A$2:$A$83=$A10)*('So sánh chi tiết'!$D$2:$D$83&lt;&gt;"")*('So sánh chi tiết'!$F$2:$F$83&lt;&gt;"")),"")</f>
        <v>0.5217391304347826</v>
      </c>
      <c r="E10" s="6">
        <f>IFERROR(SUMPRODUCT(('So sánh chi tiết'!$A$2:$A$83=$A10)*('So sánh chi tiết'!$D$2:$D$83&lt;&gt;"")*('So sánh chi tiết'!$F$2:$F$83&lt;&gt;"")*'So sánh chi tiết'!$F$2:$F$83)/SUMPRODUCT(('So sánh chi tiết'!$A$2:$A$83=$A10)*('So sánh chi tiết'!$D$2:$D$83&lt;&gt;"")*('So sánh chi tiết'!$F$2:$F$83&lt;&gt;"")),"")</f>
        <v>1.9565217391304348</v>
      </c>
      <c r="F10" s="6">
        <f>IFERROR(E10-D10,"")</f>
        <v>1.4347826086956523</v>
      </c>
      <c r="G10" s="7" t="str">
        <f>IF(OR(C10&lt;3,F10=""),"quá ít mục",IF(F10&gt;0.25,"FRACILE",IF(F10&lt;-0.25,"Vivoire","ngang nhau")))</f>
        <v>FRACILE</v>
      </c>
    </row>
    <row r="11" ht="20" customHeight="1" spans="1:7" x14ac:dyDescent="0.25">
      <c r="A11" s="4" t="s">
        <v>15</v>
      </c>
      <c r="B11" s="5">
        <f>COUNTIF('So sánh chi tiết'!$A$2:$A$83,$A11)</f>
        <v>16</v>
      </c>
      <c r="C11" s="5">
        <f>SUMPRODUCT(('So sánh chi tiết'!$A$2:$A$83=$A11)*('So sánh chi tiết'!$D$2:$D$83&lt;&gt;"")*('So sánh chi tiết'!$F$2:$F$83&lt;&gt;""))</f>
        <v>15</v>
      </c>
      <c r="D11" s="6">
        <f>IFERROR(SUMPRODUCT(('So sánh chi tiết'!$A$2:$A$83=$A11)*('So sánh chi tiết'!$D$2:$D$83&lt;&gt;"")*('So sánh chi tiết'!$F$2:$F$83&lt;&gt;"")*'So sánh chi tiết'!$D$2:$D$83)/SUMPRODUCT(('So sánh chi tiết'!$A$2:$A$83=$A11)*('So sánh chi tiết'!$D$2:$D$83&lt;&gt;"")*('So sánh chi tiết'!$F$2:$F$83&lt;&gt;"")),"")</f>
        <v>0.5333333333333333</v>
      </c>
      <c r="E11" s="6">
        <f>IFERROR(SUMPRODUCT(('So sánh chi tiết'!$A$2:$A$83=$A11)*('So sánh chi tiết'!$D$2:$D$83&lt;&gt;"")*('So sánh chi tiết'!$F$2:$F$83&lt;&gt;"")*'So sánh chi tiết'!$F$2:$F$83)/SUMPRODUCT(('So sánh chi tiết'!$A$2:$A$83=$A11)*('So sánh chi tiết'!$D$2:$D$83&lt;&gt;"")*('So sánh chi tiết'!$F$2:$F$83&lt;&gt;"")),"")</f>
        <v>1.6666666666666667</v>
      </c>
      <c r="F11" s="6">
        <f>IFERROR(E11-D11,"")</f>
        <v>1.1333333333333333</v>
      </c>
      <c r="G11" s="7" t="str">
        <f>IF(OR(C11&lt;3,F11=""),"quá ít mục",IF(F11&gt;0.25,"FRACILE",IF(F11&lt;-0.25,"Vivoire","ngang nhau")))</f>
        <v>FRACILE</v>
      </c>
    </row>
    <row r="12" ht="20" customHeight="1" spans="1:7" x14ac:dyDescent="0.25">
      <c r="A12" s="4" t="s">
        <v>16</v>
      </c>
      <c r="B12" s="5">
        <f>COUNTIF('So sánh chi tiết'!$A$2:$A$83,$A12)</f>
        <v>4</v>
      </c>
      <c r="C12" s="5">
        <f>SUMPRODUCT(('So sánh chi tiết'!$A$2:$A$83=$A12)*('So sánh chi tiết'!$D$2:$D$83&lt;&gt;"")*('So sánh chi tiết'!$F$2:$F$83&lt;&gt;""))</f>
        <v>3</v>
      </c>
      <c r="D12" s="6">
        <f>IFERROR(SUMPRODUCT(('So sánh chi tiết'!$A$2:$A$83=$A12)*('So sánh chi tiết'!$D$2:$D$83&lt;&gt;"")*('So sánh chi tiết'!$F$2:$F$83&lt;&gt;"")*'So sánh chi tiết'!$D$2:$D$83)/SUMPRODUCT(('So sánh chi tiết'!$A$2:$A$83=$A12)*('So sánh chi tiết'!$D$2:$D$83&lt;&gt;"")*('So sánh chi tiết'!$F$2:$F$83&lt;&gt;"")),"")</f>
        <v>1.6666666666666667</v>
      </c>
      <c r="E12" s="6">
        <f>IFERROR(SUMPRODUCT(('So sánh chi tiết'!$A$2:$A$83=$A12)*('So sánh chi tiết'!$D$2:$D$83&lt;&gt;"")*('So sánh chi tiết'!$F$2:$F$83&lt;&gt;"")*'So sánh chi tiết'!$F$2:$F$83)/SUMPRODUCT(('So sánh chi tiết'!$A$2:$A$83=$A12)*('So sánh chi tiết'!$D$2:$D$83&lt;&gt;"")*('So sánh chi tiết'!$F$2:$F$83&lt;&gt;"")),"")</f>
        <v>1.6666666666666667</v>
      </c>
      <c r="F12" s="6">
        <f>IFERROR(E12-D12,"")</f>
        <v>0</v>
      </c>
      <c r="G12" s="7" t="str">
        <f>IF(OR(C12&lt;3,F12=""),"quá ít mục",IF(F12&gt;0.25,"FRACILE",IF(F12&lt;-0.25,"Vivoire","ngang nhau")))</f>
        <v>ngang nhau</v>
      </c>
    </row>
    <row r="13" ht="20" customHeight="1" spans="1:7" x14ac:dyDescent="0.25">
      <c r="A13" s="4" t="s">
        <v>17</v>
      </c>
      <c r="B13" s="5">
        <f>COUNTIF('So sánh chi tiết'!$A$2:$A$83,$A13)</f>
        <v>8</v>
      </c>
      <c r="C13" s="5">
        <f>SUMPRODUCT(('So sánh chi tiết'!$A$2:$A$83=$A13)*('So sánh chi tiết'!$D$2:$D$83&lt;&gt;"")*('So sánh chi tiết'!$F$2:$F$83&lt;&gt;""))</f>
        <v>7</v>
      </c>
      <c r="D13" s="6">
        <f>IFERROR(SUMPRODUCT(('So sánh chi tiết'!$A$2:$A$83=$A13)*('So sánh chi tiết'!$D$2:$D$83&lt;&gt;"")*('So sánh chi tiết'!$F$2:$F$83&lt;&gt;"")*'So sánh chi tiết'!$D$2:$D$83)/SUMPRODUCT(('So sánh chi tiết'!$A$2:$A$83=$A13)*('So sánh chi tiết'!$D$2:$D$83&lt;&gt;"")*('So sánh chi tiết'!$F$2:$F$83&lt;&gt;"")),"")</f>
        <v>1.2857142857142858</v>
      </c>
      <c r="E13" s="6">
        <f>IFERROR(SUMPRODUCT(('So sánh chi tiết'!$A$2:$A$83=$A13)*('So sánh chi tiết'!$D$2:$D$83&lt;&gt;"")*('So sánh chi tiết'!$F$2:$F$83&lt;&gt;"")*'So sánh chi tiết'!$F$2:$F$83)/SUMPRODUCT(('So sánh chi tiết'!$A$2:$A$83=$A13)*('So sánh chi tiết'!$D$2:$D$83&lt;&gt;"")*('So sánh chi tiết'!$F$2:$F$83&lt;&gt;"")),"")</f>
        <v>1.5714285714285714</v>
      </c>
      <c r="F13" s="6">
        <f>IFERROR(E13-D13,"")</f>
        <v>0.2857142857142856</v>
      </c>
      <c r="G13" s="7" t="str">
        <f>IF(OR(C13&lt;3,F13=""),"quá ít mục",IF(F13&gt;0.25,"FRACILE",IF(F13&lt;-0.25,"Vivoire","ngang nhau")))</f>
        <v>FRACILE</v>
      </c>
    </row>
    <row r="14" spans="1:7" x14ac:dyDescent="0.25">
      <c r="A14" s="8" t="s">
        <v>18</v>
      </c>
      <c r="B14" s="9">
        <f>SUM(B7:B13)</f>
        <v>82</v>
      </c>
      <c r="C14" s="9">
        <f>SUM(C7:C13)</f>
        <v>76</v>
      </c>
      <c r="D14" s="10">
        <f>IFERROR(SUMPRODUCT(('So sánh chi tiết'!$D$2:$D$83&lt;&gt;"")*('So sánh chi tiết'!$F$2:$F$83&lt;&gt;"")*'So sánh chi tiết'!$D$2:$D$83)/SUMPRODUCT(('So sánh chi tiết'!$D$2:$D$83&lt;&gt;"")*('So sánh chi tiết'!$F$2:$F$83&lt;&gt;"")),"")</f>
        <v>0.7631578947368421</v>
      </c>
      <c r="E14" s="10">
        <f>IFERROR(SUMPRODUCT(('So sánh chi tiết'!$D$2:$D$83&lt;&gt;"")*('So sánh chi tiết'!$F$2:$F$83&lt;&gt;"")*'So sánh chi tiết'!$F$2:$F$83)/SUMPRODUCT(('So sánh chi tiết'!$D$2:$D$83&lt;&gt;"")*('So sánh chi tiết'!$F$2:$F$83&lt;&gt;"")),"")</f>
        <v>1.7763157894736843</v>
      </c>
      <c r="F14" s="10">
        <f>E14-D14</f>
        <v>1.013157894736842</v>
      </c>
      <c r="G14" s="10" t="str">
        <f>IF(F14&gt;0.25,"FRACILE",IF(F14&lt;-0.25,"Vivoire","ngang nhau"))</f>
        <v>FRACILE</v>
      </c>
    </row>
    <row r="16" spans="1:1" x14ac:dyDescent="0.25">
      <c r="A16" s="11" t="s">
        <v>19</v>
      </c>
    </row>
    <row r="17" ht="46" customHeight="1" spans="1:7" x14ac:dyDescent="0.25">
      <c r="A17" s="12" t="s">
        <v>20</v>
      </c>
      <c r="B17" s="12"/>
      <c r="C17" s="12"/>
      <c r="D17" s="12"/>
      <c r="E17" s="12"/>
      <c r="F17" s="12"/>
      <c r="G17" s="12"/>
    </row>
    <row r="18" spans="1:7" x14ac:dyDescent="0.25">
      <c r="A18" s="12"/>
      <c r="B18" s="12"/>
      <c r="C18" s="12"/>
      <c r="D18" s="12"/>
      <c r="E18" s="12"/>
      <c r="F18" s="12"/>
      <c r="G18" s="12"/>
    </row>
    <row r="19" spans="1:7" x14ac:dyDescent="0.25">
      <c r="A19" s="12"/>
      <c r="B19" s="12"/>
      <c r="C19" s="12"/>
      <c r="D19" s="12"/>
      <c r="E19" s="12"/>
      <c r="F19" s="12"/>
      <c r="G19" s="12"/>
    </row>
    <row r="20" spans="1:1" x14ac:dyDescent="0.25">
      <c r="A20" s="13" t="s">
        <v>21</v>
      </c>
    </row>
    <row r="21" spans="1:2" x14ac:dyDescent="0.25">
      <c r="A21" s="14" t="s">
        <v>22</v>
      </c>
      <c r="B21" s="15" t="s">
        <v>23</v>
      </c>
    </row>
    <row r="22" spans="1:2" x14ac:dyDescent="0.25">
      <c r="A22" s="14" t="s">
        <v>24</v>
      </c>
      <c r="B22" s="15" t="s">
        <v>25</v>
      </c>
    </row>
    <row r="23" spans="1:2" x14ac:dyDescent="0.25">
      <c r="A23" s="14" t="s">
        <v>26</v>
      </c>
      <c r="B23" s="15" t="s">
        <v>27</v>
      </c>
    </row>
    <row r="24" spans="1:2" x14ac:dyDescent="0.25">
      <c r="A24" s="14" t="s">
        <v>28</v>
      </c>
      <c r="B24" s="15" t="s">
        <v>29</v>
      </c>
    </row>
    <row r="27" spans="1:1" x14ac:dyDescent="0.25">
      <c r="A27" s="16" t="s">
        <v>30</v>
      </c>
    </row>
    <row r="28" ht="28" customHeight="1" spans="1:7" x14ac:dyDescent="0.25">
      <c r="A28" s="17" t="s">
        <v>31</v>
      </c>
      <c r="B28" s="18" t="s">
        <v>32</v>
      </c>
      <c r="C28" s="18"/>
      <c r="D28" s="18"/>
      <c r="E28" s="18"/>
      <c r="F28" s="18"/>
      <c r="G28" s="18"/>
    </row>
    <row r="29" ht="28" customHeight="1" spans="1:7" x14ac:dyDescent="0.25">
      <c r="A29" s="17" t="s">
        <v>33</v>
      </c>
      <c r="B29" s="18" t="s">
        <v>34</v>
      </c>
      <c r="C29" s="18"/>
      <c r="D29" s="18"/>
      <c r="E29" s="18"/>
      <c r="F29" s="18"/>
      <c r="G29" s="18"/>
    </row>
    <row r="30" ht="28" customHeight="1" spans="1:7" x14ac:dyDescent="0.25">
      <c r="A30" s="17" t="s">
        <v>35</v>
      </c>
      <c r="B30" s="18" t="s">
        <v>36</v>
      </c>
      <c r="C30" s="18"/>
      <c r="D30" s="18"/>
      <c r="E30" s="18"/>
      <c r="F30" s="18"/>
      <c r="G30" s="18"/>
    </row>
    <row r="31" ht="28" customHeight="1" spans="1:7" x14ac:dyDescent="0.25">
      <c r="A31" s="17" t="s">
        <v>37</v>
      </c>
      <c r="B31" s="18" t="s">
        <v>38</v>
      </c>
      <c r="C31" s="18"/>
      <c r="D31" s="18"/>
      <c r="E31" s="18"/>
      <c r="F31" s="18"/>
      <c r="G31" s="18"/>
    </row>
    <row r="32" ht="28" customHeight="1" spans="1:7" x14ac:dyDescent="0.25">
      <c r="A32" s="17" t="s">
        <v>39</v>
      </c>
      <c r="B32" s="18" t="s">
        <v>40</v>
      </c>
      <c r="C32" s="18"/>
      <c r="D32" s="18"/>
      <c r="E32" s="18"/>
      <c r="F32" s="18"/>
      <c r="G32" s="18"/>
    </row>
    <row r="33" ht="28" customHeight="1" spans="1:7" x14ac:dyDescent="0.25">
      <c r="A33" s="17" t="s">
        <v>41</v>
      </c>
      <c r="B33" s="18" t="s">
        <v>42</v>
      </c>
      <c r="C33" s="18"/>
      <c r="D33" s="18"/>
      <c r="E33" s="18"/>
      <c r="F33" s="18"/>
      <c r="G33" s="18"/>
    </row>
    <row r="34" ht="28" customHeight="1" spans="1:7" x14ac:dyDescent="0.25">
      <c r="A34" s="17" t="s">
        <v>43</v>
      </c>
      <c r="B34" s="18" t="s">
        <v>44</v>
      </c>
      <c r="C34" s="18"/>
      <c r="D34" s="18"/>
      <c r="E34" s="18"/>
      <c r="F34" s="18"/>
      <c r="G34" s="18"/>
    </row>
    <row r="35" ht="28" customHeight="1" spans="1:7" x14ac:dyDescent="0.25">
      <c r="A35" s="17" t="s">
        <v>45</v>
      </c>
      <c r="B35" s="18" t="s">
        <v>46</v>
      </c>
      <c r="C35" s="18"/>
      <c r="D35" s="18"/>
      <c r="E35" s="18"/>
      <c r="F35" s="18"/>
      <c r="G35" s="18"/>
    </row>
    <row r="36" ht="28" customHeight="1" spans="1:7" x14ac:dyDescent="0.25">
      <c r="A36" s="17" t="s">
        <v>47</v>
      </c>
      <c r="B36" s="18" t="s">
        <v>48</v>
      </c>
      <c r="C36" s="18"/>
      <c r="D36" s="18"/>
      <c r="E36" s="18"/>
      <c r="F36" s="18"/>
      <c r="G36" s="18"/>
    </row>
    <row r="37" ht="28" customHeight="1" spans="1:7" x14ac:dyDescent="0.25">
      <c r="A37" s="17" t="s">
        <v>49</v>
      </c>
      <c r="B37" s="18" t="s">
        <v>50</v>
      </c>
      <c r="C37" s="18"/>
      <c r="D37" s="18"/>
      <c r="E37" s="18"/>
      <c r="F37" s="18"/>
      <c r="G37" s="18"/>
    </row>
    <row r="38" ht="28" customHeight="1" spans="1:7" x14ac:dyDescent="0.25">
      <c r="A38" s="17" t="s">
        <v>51</v>
      </c>
      <c r="B38" s="18" t="s">
        <v>52</v>
      </c>
      <c r="C38" s="18"/>
      <c r="D38" s="18"/>
      <c r="E38" s="18"/>
      <c r="F38" s="18"/>
      <c r="G38" s="18"/>
    </row>
    <row r="39" ht="28" customHeight="1" spans="1:7" x14ac:dyDescent="0.25">
      <c r="A39" s="17" t="s">
        <v>53</v>
      </c>
      <c r="B39" s="18" t="s">
        <v>54</v>
      </c>
      <c r="C39" s="18"/>
      <c r="D39" s="18"/>
      <c r="E39" s="18"/>
      <c r="F39" s="18"/>
      <c r="G39" s="18"/>
    </row>
    <row r="40" ht="28" customHeight="1" spans="1:7" x14ac:dyDescent="0.25">
      <c r="A40" s="17" t="s">
        <v>55</v>
      </c>
      <c r="B40" s="18" t="s">
        <v>56</v>
      </c>
      <c r="C40" s="18"/>
      <c r="D40" s="18"/>
      <c r="E40" s="18"/>
      <c r="F40" s="18"/>
      <c r="G40" s="18"/>
    </row>
    <row r="41" ht="28" customHeight="1" spans="1:7" x14ac:dyDescent="0.25">
      <c r="A41" s="17" t="s">
        <v>57</v>
      </c>
      <c r="B41" s="18" t="s">
        <v>58</v>
      </c>
      <c r="C41" s="18"/>
      <c r="D41" s="18"/>
      <c r="E41" s="18"/>
      <c r="F41" s="18"/>
      <c r="G41" s="18"/>
    </row>
    <row r="42" ht="28" customHeight="1" spans="1:7" x14ac:dyDescent="0.25">
      <c r="A42" s="17" t="s">
        <v>59</v>
      </c>
      <c r="B42" s="18" t="s">
        <v>60</v>
      </c>
      <c r="C42" s="18"/>
      <c r="D42" s="18"/>
      <c r="E42" s="18"/>
      <c r="F42" s="18"/>
      <c r="G42" s="18"/>
    </row>
    <row r="43" ht="28" customHeight="1" spans="1:7" x14ac:dyDescent="0.25">
      <c r="A43" s="17" t="s">
        <v>61</v>
      </c>
      <c r="B43" s="18" t="s">
        <v>62</v>
      </c>
      <c r="C43" s="18"/>
      <c r="D43" s="18"/>
      <c r="E43" s="18"/>
      <c r="F43" s="18"/>
      <c r="G43" s="18"/>
    </row>
    <row r="44" ht="28" customHeight="1" spans="1:7" x14ac:dyDescent="0.25">
      <c r="A44" s="17" t="s">
        <v>63</v>
      </c>
      <c r="B44" s="18" t="s">
        <v>64</v>
      </c>
      <c r="C44" s="18"/>
      <c r="D44" s="18"/>
      <c r="E44" s="18"/>
      <c r="F44" s="18"/>
      <c r="G44" s="18"/>
    </row>
    <row r="45" ht="28" customHeight="1" spans="1:7" x14ac:dyDescent="0.25">
      <c r="A45" s="17" t="s">
        <v>65</v>
      </c>
      <c r="B45" s="18" t="s">
        <v>66</v>
      </c>
      <c r="C45" s="18"/>
      <c r="D45" s="18"/>
      <c r="E45" s="18"/>
      <c r="F45" s="18"/>
      <c r="G45" s="18"/>
    </row>
    <row r="46" ht="28" customHeight="1" spans="1:7" x14ac:dyDescent="0.25">
      <c r="A46" s="17" t="s">
        <v>67</v>
      </c>
      <c r="B46" s="18" t="s">
        <v>68</v>
      </c>
      <c r="C46" s="18"/>
      <c r="D46" s="18"/>
      <c r="E46" s="18"/>
      <c r="F46" s="18"/>
      <c r="G46" s="18"/>
    </row>
    <row r="47" ht="28" customHeight="1" spans="1:7" x14ac:dyDescent="0.25">
      <c r="A47" s="17" t="s">
        <v>69</v>
      </c>
      <c r="B47" s="18" t="s">
        <v>70</v>
      </c>
      <c r="C47" s="18"/>
      <c r="D47" s="18"/>
      <c r="E47" s="18"/>
      <c r="F47" s="18"/>
      <c r="G47" s="18"/>
    </row>
    <row r="48" ht="28" customHeight="1" spans="1:7" x14ac:dyDescent="0.25">
      <c r="A48" s="17" t="s">
        <v>71</v>
      </c>
      <c r="B48" s="18" t="s">
        <v>72</v>
      </c>
      <c r="C48" s="18"/>
      <c r="D48" s="18"/>
      <c r="E48" s="18"/>
      <c r="F48" s="18"/>
      <c r="G48" s="18"/>
    </row>
    <row r="49" ht="28" customHeight="1" spans="1:7" x14ac:dyDescent="0.25">
      <c r="A49" s="17" t="s">
        <v>73</v>
      </c>
      <c r="B49" s="18" t="s">
        <v>74</v>
      </c>
      <c r="C49" s="18"/>
      <c r="D49" s="18"/>
      <c r="E49" s="18"/>
      <c r="F49" s="18"/>
      <c r="G49" s="18"/>
    </row>
    <row r="50" ht="28" customHeight="1" spans="1:7" x14ac:dyDescent="0.25">
      <c r="A50" s="17" t="s">
        <v>75</v>
      </c>
      <c r="B50" s="18" t="s">
        <v>76</v>
      </c>
      <c r="C50" s="18"/>
      <c r="D50" s="18"/>
      <c r="E50" s="18"/>
      <c r="F50" s="18"/>
      <c r="G50" s="18"/>
    </row>
    <row r="51" ht="28" customHeight="1" spans="1:7" x14ac:dyDescent="0.25">
      <c r="A51" s="17" t="s">
        <v>77</v>
      </c>
      <c r="B51" s="18" t="s">
        <v>78</v>
      </c>
      <c r="C51" s="18"/>
      <c r="D51" s="18"/>
      <c r="E51" s="18"/>
      <c r="F51" s="18"/>
      <c r="G51" s="18"/>
    </row>
    <row r="52" ht="28" customHeight="1" spans="1:7" x14ac:dyDescent="0.25">
      <c r="A52" s="17" t="s">
        <v>79</v>
      </c>
      <c r="B52" s="18" t="s">
        <v>80</v>
      </c>
      <c r="C52" s="18"/>
      <c r="D52" s="18"/>
      <c r="E52" s="18"/>
      <c r="F52" s="18"/>
      <c r="G52" s="18"/>
    </row>
    <row r="53" ht="28" customHeight="1" spans="1:7" x14ac:dyDescent="0.25">
      <c r="A53" s="17" t="s">
        <v>81</v>
      </c>
      <c r="B53" s="18" t="s">
        <v>82</v>
      </c>
      <c r="C53" s="18"/>
      <c r="D53" s="18"/>
      <c r="E53" s="18"/>
      <c r="F53" s="18"/>
      <c r="G53" s="18"/>
    </row>
    <row r="54" ht="28" customHeight="1" spans="1:7" x14ac:dyDescent="0.25">
      <c r="A54" s="17" t="s">
        <v>83</v>
      </c>
      <c r="B54" s="18" t="s">
        <v>84</v>
      </c>
      <c r="C54" s="18"/>
      <c r="D54" s="18"/>
      <c r="E54" s="18"/>
      <c r="F54" s="18"/>
      <c r="G54" s="18"/>
    </row>
    <row r="55" ht="28" customHeight="1" spans="1:7" x14ac:dyDescent="0.25">
      <c r="A55" s="17" t="s">
        <v>85</v>
      </c>
      <c r="B55" s="18" t="s">
        <v>86</v>
      </c>
      <c r="C55" s="18"/>
      <c r="D55" s="18"/>
      <c r="E55" s="18"/>
      <c r="F55" s="18"/>
      <c r="G55" s="18"/>
    </row>
    <row r="56" ht="28" customHeight="1" spans="1:7" x14ac:dyDescent="0.25">
      <c r="A56" s="17" t="s">
        <v>87</v>
      </c>
      <c r="B56" s="18" t="s">
        <v>88</v>
      </c>
      <c r="C56" s="18"/>
      <c r="D56" s="18"/>
      <c r="E56" s="18"/>
      <c r="F56" s="18"/>
      <c r="G56" s="18"/>
    </row>
    <row r="57" ht="28" customHeight="1" spans="1:7" x14ac:dyDescent="0.25">
      <c r="A57" s="17" t="s">
        <v>89</v>
      </c>
      <c r="B57" s="18" t="s">
        <v>90</v>
      </c>
      <c r="C57" s="18"/>
      <c r="D57" s="18"/>
      <c r="E57" s="18"/>
      <c r="F57" s="18"/>
      <c r="G57" s="18"/>
    </row>
    <row r="58" ht="28" customHeight="1" spans="1:7" x14ac:dyDescent="0.25">
      <c r="A58" s="17" t="s">
        <v>91</v>
      </c>
      <c r="B58" s="18" t="s">
        <v>92</v>
      </c>
      <c r="C58" s="18"/>
      <c r="D58" s="18"/>
      <c r="E58" s="18"/>
      <c r="F58" s="18"/>
      <c r="G58" s="18"/>
    </row>
    <row r="59" ht="28" customHeight="1" spans="1:7" x14ac:dyDescent="0.25">
      <c r="A59" s="17" t="s">
        <v>93</v>
      </c>
      <c r="B59" s="18" t="s">
        <v>94</v>
      </c>
      <c r="C59" s="18"/>
      <c r="D59" s="18"/>
      <c r="E59" s="18"/>
      <c r="F59" s="18"/>
      <c r="G59" s="18"/>
    </row>
    <row r="60" ht="28" customHeight="1" spans="1:7" x14ac:dyDescent="0.25">
      <c r="A60" s="17" t="s">
        <v>95</v>
      </c>
      <c r="B60" s="18" t="s">
        <v>96</v>
      </c>
      <c r="C60" s="18"/>
      <c r="D60" s="18"/>
      <c r="E60" s="18"/>
      <c r="F60" s="18"/>
      <c r="G60" s="18"/>
    </row>
    <row r="61" ht="28" customHeight="1" spans="1:7" x14ac:dyDescent="0.25">
      <c r="A61" s="17" t="s">
        <v>97</v>
      </c>
      <c r="B61" s="18" t="s">
        <v>98</v>
      </c>
      <c r="C61" s="18"/>
      <c r="D61" s="18"/>
      <c r="E61" s="18"/>
      <c r="F61" s="18"/>
      <c r="G61" s="18"/>
    </row>
    <row r="62" ht="28" customHeight="1" spans="1:7" x14ac:dyDescent="0.25">
      <c r="A62" s="17" t="s">
        <v>99</v>
      </c>
      <c r="B62" s="18" t="s">
        <v>100</v>
      </c>
      <c r="C62" s="18"/>
      <c r="D62" s="18"/>
      <c r="E62" s="18"/>
      <c r="F62" s="18"/>
      <c r="G62" s="18"/>
    </row>
    <row r="63" ht="28" customHeight="1" spans="1:7" x14ac:dyDescent="0.25">
      <c r="A63" s="17" t="s">
        <v>101</v>
      </c>
      <c r="B63" s="18" t="s">
        <v>102</v>
      </c>
      <c r="C63" s="18"/>
      <c r="D63" s="18"/>
      <c r="E63" s="18"/>
      <c r="F63" s="18"/>
      <c r="G63" s="18"/>
    </row>
    <row r="64" ht="28" customHeight="1" spans="1:7" x14ac:dyDescent="0.25">
      <c r="A64" s="17" t="s">
        <v>103</v>
      </c>
      <c r="B64" s="18" t="s">
        <v>104</v>
      </c>
      <c r="C64" s="18"/>
      <c r="D64" s="18"/>
      <c r="E64" s="18"/>
      <c r="F64" s="18"/>
      <c r="G64" s="18"/>
    </row>
    <row r="65" ht="28" customHeight="1" spans="1:7" x14ac:dyDescent="0.25">
      <c r="A65" s="17" t="s">
        <v>105</v>
      </c>
      <c r="B65" s="18" t="s">
        <v>106</v>
      </c>
      <c r="C65" s="18"/>
      <c r="D65" s="18"/>
      <c r="E65" s="18"/>
      <c r="F65" s="18"/>
      <c r="G65" s="18"/>
    </row>
    <row r="66" ht="28" customHeight="1" spans="1:7" x14ac:dyDescent="0.25">
      <c r="A66" s="17" t="s">
        <v>107</v>
      </c>
      <c r="B66" s="18" t="s">
        <v>108</v>
      </c>
      <c r="C66" s="18"/>
      <c r="D66" s="18"/>
      <c r="E66" s="18"/>
      <c r="F66" s="18"/>
      <c r="G66" s="18"/>
    </row>
    <row r="67" ht="28" customHeight="1" spans="1:7" x14ac:dyDescent="0.25">
      <c r="A67" s="17" t="s">
        <v>109</v>
      </c>
      <c r="B67" s="18" t="s">
        <v>110</v>
      </c>
      <c r="C67" s="18"/>
      <c r="D67" s="18"/>
      <c r="E67" s="18"/>
      <c r="F67" s="18"/>
      <c r="G67" s="18"/>
    </row>
    <row r="68" ht="28" customHeight="1" spans="1:7" x14ac:dyDescent="0.25">
      <c r="A68" s="17" t="s">
        <v>111</v>
      </c>
      <c r="B68" s="18" t="s">
        <v>112</v>
      </c>
      <c r="C68" s="18"/>
      <c r="D68" s="18"/>
      <c r="E68" s="18"/>
      <c r="F68" s="18"/>
      <c r="G68" s="18"/>
    </row>
    <row r="69" ht="28" customHeight="1" spans="1:7" x14ac:dyDescent="0.25">
      <c r="A69" s="17" t="s">
        <v>113</v>
      </c>
      <c r="B69" s="18" t="s">
        <v>114</v>
      </c>
      <c r="C69" s="18"/>
      <c r="D69" s="18"/>
      <c r="E69" s="18"/>
      <c r="F69" s="18"/>
      <c r="G69" s="18"/>
    </row>
    <row r="70" ht="28" customHeight="1" spans="1:7" x14ac:dyDescent="0.25">
      <c r="A70" s="17" t="s">
        <v>115</v>
      </c>
      <c r="B70" s="18" t="s">
        <v>116</v>
      </c>
      <c r="C70" s="18"/>
      <c r="D70" s="18"/>
      <c r="E70" s="18"/>
      <c r="F70" s="18"/>
      <c r="G70" s="18"/>
    </row>
    <row r="71" ht="28" customHeight="1" spans="1:7" x14ac:dyDescent="0.25">
      <c r="A71" s="17" t="s">
        <v>117</v>
      </c>
      <c r="B71" s="18" t="s">
        <v>118</v>
      </c>
      <c r="C71" s="18"/>
      <c r="D71" s="18"/>
      <c r="E71" s="18"/>
      <c r="F71" s="18"/>
      <c r="G71" s="18"/>
    </row>
    <row r="72" ht="28" customHeight="1" spans="1:7" x14ac:dyDescent="0.25">
      <c r="A72" s="17" t="s">
        <v>119</v>
      </c>
      <c r="B72" s="18" t="s">
        <v>120</v>
      </c>
      <c r="C72" s="18"/>
      <c r="D72" s="18"/>
      <c r="E72" s="18"/>
      <c r="F72" s="18"/>
      <c r="G72" s="18"/>
    </row>
  </sheetData>
  <mergeCells count="46">
    <mergeCell ref="A17:G19"/>
    <mergeCell ref="B28:G28"/>
    <mergeCell ref="B29:G29"/>
    <mergeCell ref="B30:G30"/>
    <mergeCell ref="B31:G31"/>
    <mergeCell ref="B32:G32"/>
    <mergeCell ref="B33:G33"/>
    <mergeCell ref="B34:G34"/>
    <mergeCell ref="B35:G35"/>
    <mergeCell ref="B36:G36"/>
    <mergeCell ref="B37:G37"/>
    <mergeCell ref="B38:G38"/>
    <mergeCell ref="B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B54:G54"/>
    <mergeCell ref="B55:G55"/>
    <mergeCell ref="B56:G56"/>
    <mergeCell ref="B57:G57"/>
    <mergeCell ref="B58:G58"/>
    <mergeCell ref="B59:G59"/>
    <mergeCell ref="B60:G60"/>
    <mergeCell ref="B61:G61"/>
    <mergeCell ref="B62:G62"/>
    <mergeCell ref="B63:G63"/>
    <mergeCell ref="B64:G64"/>
    <mergeCell ref="B65:G65"/>
    <mergeCell ref="B66:G66"/>
    <mergeCell ref="B67:G67"/>
    <mergeCell ref="B68:G68"/>
    <mergeCell ref="B69:G69"/>
    <mergeCell ref="B70:G70"/>
    <mergeCell ref="B71:G71"/>
    <mergeCell ref="B72:G7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3"/>
  <sheetViews>
    <sheetView workbookViewId="0">
      <pane xSplit="2" ySplit="1" topLeftCell="C2" activePane="bottomRight" state="frozen"/>
      <selection pane="bottomRight"/>
    </sheetView>
  </sheetViews>
  <sheetFormatPr defaultRowHeight="15" outlineLevelRow="0" outlineLevelCol="0" x14ac:dyDescent="55"/>
  <cols>
    <col min="1" max="1" width="20" customWidth="1"/>
    <col min="2" max="2" width="34" customWidth="1"/>
    <col min="3" max="3" width="38" customWidth="1"/>
    <col min="4" max="4" width="8" customWidth="1"/>
    <col min="5" max="5" width="44" customWidth="1"/>
    <col min="6" max="6" width="8" customWidth="1"/>
    <col min="7" max="7" width="11" customWidth="1"/>
    <col min="8" max="8" width="24" customWidth="1"/>
    <col min="9" max="9" width="46" customWidth="1"/>
  </cols>
  <sheetData>
    <row r="1" ht="34" customHeight="1" spans="1:9" x14ac:dyDescent="0.25">
      <c r="A1" s="3" t="s">
        <v>4</v>
      </c>
      <c r="B1" s="3" t="s">
        <v>121</v>
      </c>
      <c r="C1" s="3" t="s">
        <v>122</v>
      </c>
      <c r="D1" s="3" t="s">
        <v>123</v>
      </c>
      <c r="E1" s="3" t="s">
        <v>124</v>
      </c>
      <c r="F1" s="3" t="s">
        <v>125</v>
      </c>
      <c r="G1" s="3" t="s">
        <v>126</v>
      </c>
      <c r="H1" s="3" t="s">
        <v>127</v>
      </c>
      <c r="I1" s="3" t="s">
        <v>128</v>
      </c>
    </row>
    <row r="2" ht="44" customHeight="1" spans="1:9" x14ac:dyDescent="0.25">
      <c r="A2" s="19" t="s">
        <v>11</v>
      </c>
      <c r="B2" s="20" t="s">
        <v>129</v>
      </c>
      <c r="C2" s="21" t="s">
        <v>130</v>
      </c>
      <c r="D2" s="22">
        <v>2</v>
      </c>
      <c r="E2" s="21" t="s">
        <v>131</v>
      </c>
      <c r="F2" s="22">
        <v>2</v>
      </c>
      <c r="G2" s="23" t="str">
        <f>IF(OR(D2="",F2=""),"chưa rõ",IF(F2&gt;D2,"FRACILE",IF(D2&gt;F2,"Vivoire","hoà")))</f>
        <v>hoà</v>
      </c>
      <c r="H2" s="19" t="s">
        <v>132</v>
      </c>
      <c r="I2" s="24" t="s">
        <v>133</v>
      </c>
    </row>
    <row r="3" ht="44" customHeight="1" spans="1:9" x14ac:dyDescent="0.25">
      <c r="A3" s="25" t="s">
        <v>11</v>
      </c>
      <c r="B3" s="26" t="s">
        <v>134</v>
      </c>
      <c r="C3" s="27" t="s">
        <v>135</v>
      </c>
      <c r="D3" s="28">
        <v>0</v>
      </c>
      <c r="E3" s="27" t="s">
        <v>136</v>
      </c>
      <c r="F3" s="28">
        <v>2</v>
      </c>
      <c r="G3" s="29" t="str">
        <f>IF(OR(D3="",F3=""),"chưa rõ",IF(F3&gt;D3,"FRACILE",IF(D3&gt;F3,"Vivoire","hoà")))</f>
        <v>FRACILE</v>
      </c>
      <c r="H3" s="25" t="s">
        <v>132</v>
      </c>
      <c r="I3" s="30" t="s">
        <v>137</v>
      </c>
    </row>
    <row r="4" ht="44" customHeight="1" spans="1:9" x14ac:dyDescent="0.25">
      <c r="A4" s="19" t="s">
        <v>11</v>
      </c>
      <c r="B4" s="20" t="s">
        <v>138</v>
      </c>
      <c r="C4" s="21" t="s">
        <v>139</v>
      </c>
      <c r="D4" s="22">
        <v>2</v>
      </c>
      <c r="E4" s="21" t="s">
        <v>140</v>
      </c>
      <c r="F4" s="22">
        <v>2</v>
      </c>
      <c r="G4" s="23" t="str">
        <f>IF(OR(D4="",F4=""),"chưa rõ",IF(F4&gt;D4,"FRACILE",IF(D4&gt;F4,"Vivoire","hoà")))</f>
        <v>hoà</v>
      </c>
      <c r="H4" s="19" t="s">
        <v>141</v>
      </c>
      <c r="I4" s="24" t="s">
        <v>142</v>
      </c>
    </row>
    <row r="5" ht="44" customHeight="1" spans="1:9" x14ac:dyDescent="0.25">
      <c r="A5" s="19" t="s">
        <v>11</v>
      </c>
      <c r="B5" s="20" t="s">
        <v>143</v>
      </c>
      <c r="C5" s="21" t="s">
        <v>144</v>
      </c>
      <c r="D5" s="22">
        <v>2</v>
      </c>
      <c r="E5" s="21" t="s">
        <v>145</v>
      </c>
      <c r="F5" s="22">
        <v>1</v>
      </c>
      <c r="G5" s="23" t="str">
        <f>IF(OR(D5="",F5=""),"chưa rõ",IF(F5&gt;D5,"FRACILE",IF(D5&gt;F5,"Vivoire","hoà")))</f>
        <v>Vivoire</v>
      </c>
      <c r="H5" s="19" t="s">
        <v>132</v>
      </c>
      <c r="I5" s="24" t="s">
        <v>146</v>
      </c>
    </row>
    <row r="6" ht="44" customHeight="1" spans="1:9" x14ac:dyDescent="0.25">
      <c r="A6" s="19" t="s">
        <v>11</v>
      </c>
      <c r="B6" s="20" t="s">
        <v>147</v>
      </c>
      <c r="C6" s="21" t="s">
        <v>148</v>
      </c>
      <c r="D6" s="22">
        <v>2</v>
      </c>
      <c r="E6" s="21" t="s">
        <v>149</v>
      </c>
      <c r="F6" s="22">
        <v>1</v>
      </c>
      <c r="G6" s="23" t="str">
        <f>IF(OR(D6="",F6=""),"chưa rõ",IF(F6&gt;D6,"FRACILE",IF(D6&gt;F6,"Vivoire","hoà")))</f>
        <v>Vivoire</v>
      </c>
      <c r="H6" s="19" t="s">
        <v>150</v>
      </c>
      <c r="I6" s="24" t="s">
        <v>151</v>
      </c>
    </row>
    <row r="7" ht="44" customHeight="1" spans="1:9" x14ac:dyDescent="0.25">
      <c r="A7" s="31" t="s">
        <v>11</v>
      </c>
      <c r="B7" s="32" t="s">
        <v>152</v>
      </c>
      <c r="C7" s="33" t="s">
        <v>153</v>
      </c>
      <c r="D7" s="34">
        <v>2</v>
      </c>
      <c r="E7" s="33" t="s">
        <v>154</v>
      </c>
      <c r="F7" s="34">
        <v>0</v>
      </c>
      <c r="G7" s="35" t="str">
        <f>IF(OR(D7="",F7=""),"chưa rõ",IF(F7&gt;D7,"FRACILE",IF(D7&gt;F7,"Vivoire","hoà")))</f>
        <v>Vivoire</v>
      </c>
      <c r="H7" s="31" t="s">
        <v>155</v>
      </c>
      <c r="I7" s="36" t="s">
        <v>156</v>
      </c>
    </row>
    <row r="8" ht="44" customHeight="1" spans="1:9" x14ac:dyDescent="0.25">
      <c r="A8" s="25" t="s">
        <v>11</v>
      </c>
      <c r="B8" s="26" t="s">
        <v>157</v>
      </c>
      <c r="C8" s="27" t="s">
        <v>135</v>
      </c>
      <c r="D8" s="28">
        <v>0</v>
      </c>
      <c r="E8" s="27" t="s">
        <v>158</v>
      </c>
      <c r="F8" s="28">
        <v>2</v>
      </c>
      <c r="G8" s="29" t="str">
        <f>IF(OR(D8="",F8=""),"chưa rõ",IF(F8&gt;D8,"FRACILE",IF(D8&gt;F8,"Vivoire","hoà")))</f>
        <v>FRACILE</v>
      </c>
      <c r="H8" s="25" t="s">
        <v>159</v>
      </c>
      <c r="I8" s="30" t="s">
        <v>160</v>
      </c>
    </row>
    <row r="9" ht="44" customHeight="1" spans="1:9" x14ac:dyDescent="0.25">
      <c r="A9" s="25" t="s">
        <v>11</v>
      </c>
      <c r="B9" s="26" t="s">
        <v>161</v>
      </c>
      <c r="C9" s="27" t="s">
        <v>23</v>
      </c>
      <c r="D9" s="28">
        <v>0</v>
      </c>
      <c r="E9" s="27" t="s">
        <v>162</v>
      </c>
      <c r="F9" s="28">
        <v>2</v>
      </c>
      <c r="G9" s="29" t="str">
        <f>IF(OR(D9="",F9=""),"chưa rõ",IF(F9&gt;D9,"FRACILE",IF(D9&gt;F9,"Vivoire","hoà")))</f>
        <v>FRACILE</v>
      </c>
      <c r="H9" s="25" t="s">
        <v>163</v>
      </c>
      <c r="I9" s="30" t="s">
        <v>164</v>
      </c>
    </row>
    <row r="10" ht="44" customHeight="1" spans="1:9" x14ac:dyDescent="0.25">
      <c r="A10" s="19" t="s">
        <v>12</v>
      </c>
      <c r="B10" s="20" t="s">
        <v>165</v>
      </c>
      <c r="C10" s="21" t="s">
        <v>166</v>
      </c>
      <c r="D10" s="22">
        <v>2</v>
      </c>
      <c r="E10" s="21" t="s">
        <v>167</v>
      </c>
      <c r="F10" s="22">
        <v>2</v>
      </c>
      <c r="G10" s="23" t="str">
        <f>IF(OR(D10="",F10=""),"chưa rõ",IF(F10&gt;D10,"FRACILE",IF(D10&gt;F10,"Vivoire","hoà")))</f>
        <v>hoà</v>
      </c>
      <c r="H10" s="19" t="s">
        <v>168</v>
      </c>
      <c r="I10" s="24" t="s">
        <v>169</v>
      </c>
    </row>
    <row r="11" ht="44" customHeight="1" spans="1:9" x14ac:dyDescent="0.25">
      <c r="A11" s="25" t="s">
        <v>12</v>
      </c>
      <c r="B11" s="26" t="s">
        <v>170</v>
      </c>
      <c r="C11" s="27" t="s">
        <v>135</v>
      </c>
      <c r="D11" s="28">
        <v>0</v>
      </c>
      <c r="E11" s="27" t="s">
        <v>171</v>
      </c>
      <c r="F11" s="28">
        <v>2</v>
      </c>
      <c r="G11" s="29" t="str">
        <f>IF(OR(D11="",F11=""),"chưa rõ",IF(F11&gt;D11,"FRACILE",IF(D11&gt;F11,"Vivoire","hoà")))</f>
        <v>FRACILE</v>
      </c>
      <c r="H11" s="25" t="s">
        <v>132</v>
      </c>
      <c r="I11" s="30" t="s">
        <v>172</v>
      </c>
    </row>
    <row r="12" ht="44" customHeight="1" spans="1:9" x14ac:dyDescent="0.25">
      <c r="A12" s="25" t="s">
        <v>12</v>
      </c>
      <c r="B12" s="26" t="s">
        <v>173</v>
      </c>
      <c r="C12" s="27" t="s">
        <v>135</v>
      </c>
      <c r="D12" s="28">
        <v>0</v>
      </c>
      <c r="E12" s="27" t="s">
        <v>174</v>
      </c>
      <c r="F12" s="28">
        <v>2</v>
      </c>
      <c r="G12" s="29" t="str">
        <f>IF(OR(D12="",F12=""),"chưa rõ",IF(F12&gt;D12,"FRACILE",IF(D12&gt;F12,"Vivoire","hoà")))</f>
        <v>FRACILE</v>
      </c>
      <c r="H12" s="25" t="s">
        <v>132</v>
      </c>
      <c r="I12" s="30" t="s">
        <v>175</v>
      </c>
    </row>
    <row r="13" ht="44" customHeight="1" spans="1:9" x14ac:dyDescent="0.25">
      <c r="A13" s="25" t="s">
        <v>12</v>
      </c>
      <c r="B13" s="26" t="s">
        <v>176</v>
      </c>
      <c r="C13" s="27" t="s">
        <v>135</v>
      </c>
      <c r="D13" s="28">
        <v>0</v>
      </c>
      <c r="E13" s="27" t="s">
        <v>177</v>
      </c>
      <c r="F13" s="28">
        <v>2</v>
      </c>
      <c r="G13" s="29" t="str">
        <f>IF(OR(D13="",F13=""),"chưa rõ",IF(F13&gt;D13,"FRACILE",IF(D13&gt;F13,"Vivoire","hoà")))</f>
        <v>FRACILE</v>
      </c>
      <c r="H13" s="25" t="s">
        <v>132</v>
      </c>
      <c r="I13" s="30" t="s">
        <v>178</v>
      </c>
    </row>
    <row r="14" ht="44" customHeight="1" spans="1:9" x14ac:dyDescent="0.25">
      <c r="A14" s="25" t="s">
        <v>12</v>
      </c>
      <c r="B14" s="26" t="s">
        <v>179</v>
      </c>
      <c r="C14" s="27" t="s">
        <v>135</v>
      </c>
      <c r="D14" s="28">
        <v>0</v>
      </c>
      <c r="E14" s="27" t="s">
        <v>180</v>
      </c>
      <c r="F14" s="28">
        <v>2</v>
      </c>
      <c r="G14" s="29" t="str">
        <f>IF(OR(D14="",F14=""),"chưa rõ",IF(F14&gt;D14,"FRACILE",IF(D14&gt;F14,"Vivoire","hoà")))</f>
        <v>FRACILE</v>
      </c>
      <c r="H14" s="25" t="s">
        <v>132</v>
      </c>
      <c r="I14" s="30" t="s">
        <v>181</v>
      </c>
    </row>
    <row r="15" ht="44" customHeight="1" spans="1:9" x14ac:dyDescent="0.25">
      <c r="A15" s="25" t="s">
        <v>12</v>
      </c>
      <c r="B15" s="26" t="s">
        <v>182</v>
      </c>
      <c r="C15" s="27" t="s">
        <v>135</v>
      </c>
      <c r="D15" s="28">
        <v>0</v>
      </c>
      <c r="E15" s="27" t="s">
        <v>183</v>
      </c>
      <c r="F15" s="28">
        <v>2</v>
      </c>
      <c r="G15" s="29" t="str">
        <f>IF(OR(D15="",F15=""),"chưa rõ",IF(F15&gt;D15,"FRACILE",IF(D15&gt;F15,"Vivoire","hoà")))</f>
        <v>FRACILE</v>
      </c>
      <c r="H15" s="25" t="s">
        <v>132</v>
      </c>
      <c r="I15" s="30" t="s">
        <v>184</v>
      </c>
    </row>
    <row r="16" ht="44" customHeight="1" spans="1:9" x14ac:dyDescent="0.25">
      <c r="A16" s="19" t="s">
        <v>13</v>
      </c>
      <c r="B16" s="20" t="s">
        <v>185</v>
      </c>
      <c r="C16" s="21" t="s">
        <v>186</v>
      </c>
      <c r="D16" s="22">
        <v>2</v>
      </c>
      <c r="E16" s="21" t="s">
        <v>187</v>
      </c>
      <c r="F16" s="22">
        <v>1</v>
      </c>
      <c r="G16" s="23" t="str">
        <f>IF(OR(D16="",F16=""),"chưa rõ",IF(F16&gt;D16,"FRACILE",IF(D16&gt;F16,"Vivoire","hoà")))</f>
        <v>Vivoire</v>
      </c>
      <c r="H16" s="19" t="s">
        <v>188</v>
      </c>
      <c r="I16" s="24" t="s">
        <v>189</v>
      </c>
    </row>
    <row r="17" ht="44" customHeight="1" spans="1:9" x14ac:dyDescent="0.25">
      <c r="A17" s="19" t="s">
        <v>13</v>
      </c>
      <c r="B17" s="20" t="s">
        <v>190</v>
      </c>
      <c r="C17" s="21" t="s">
        <v>191</v>
      </c>
      <c r="D17" s="22">
        <v>2</v>
      </c>
      <c r="E17" s="21" t="s">
        <v>192</v>
      </c>
      <c r="F17" s="22">
        <v>2</v>
      </c>
      <c r="G17" s="23" t="str">
        <f>IF(OR(D17="",F17=""),"chưa rõ",IF(F17&gt;D17,"FRACILE",IF(D17&gt;F17,"Vivoire","hoà")))</f>
        <v>hoà</v>
      </c>
      <c r="H17" s="19" t="s">
        <v>132</v>
      </c>
      <c r="I17" s="24" t="s">
        <v>193</v>
      </c>
    </row>
    <row r="18" ht="44" customHeight="1" spans="1:9" x14ac:dyDescent="0.25">
      <c r="A18" s="25" t="s">
        <v>13</v>
      </c>
      <c r="B18" s="26" t="s">
        <v>194</v>
      </c>
      <c r="C18" s="27" t="s">
        <v>195</v>
      </c>
      <c r="D18" s="28"/>
      <c r="E18" s="27" t="s">
        <v>196</v>
      </c>
      <c r="F18" s="28">
        <v>2</v>
      </c>
      <c r="G18" s="29" t="str">
        <f>IF(OR(D18="",F18=""),"chưa rõ",IF(F18&gt;D18,"FRACILE",IF(D18&gt;F18,"Vivoire","hoà")))</f>
        <v>chưa rõ</v>
      </c>
      <c r="H18" s="25" t="s">
        <v>132</v>
      </c>
      <c r="I18" s="30" t="s">
        <v>197</v>
      </c>
    </row>
    <row r="19" ht="44" customHeight="1" spans="1:9" x14ac:dyDescent="0.25">
      <c r="A19" s="19" t="s">
        <v>13</v>
      </c>
      <c r="B19" s="20" t="s">
        <v>198</v>
      </c>
      <c r="C19" s="21" t="s">
        <v>199</v>
      </c>
      <c r="D19" s="22">
        <v>2</v>
      </c>
      <c r="E19" s="21" t="s">
        <v>200</v>
      </c>
      <c r="F19" s="22">
        <v>1</v>
      </c>
      <c r="G19" s="23" t="str">
        <f>IF(OR(D19="",F19=""),"chưa rõ",IF(F19&gt;D19,"FRACILE",IF(D19&gt;F19,"Vivoire","hoà")))</f>
        <v>Vivoire</v>
      </c>
      <c r="H19" s="19" t="s">
        <v>201</v>
      </c>
      <c r="I19" s="24" t="s">
        <v>202</v>
      </c>
    </row>
    <row r="20" ht="44" customHeight="1" spans="1:9" x14ac:dyDescent="0.25">
      <c r="A20" s="25" t="s">
        <v>13</v>
      </c>
      <c r="B20" s="26" t="s">
        <v>203</v>
      </c>
      <c r="C20" s="27" t="s">
        <v>135</v>
      </c>
      <c r="D20" s="28">
        <v>0</v>
      </c>
      <c r="E20" s="27" t="s">
        <v>204</v>
      </c>
      <c r="F20" s="28">
        <v>2</v>
      </c>
      <c r="G20" s="29" t="str">
        <f>IF(OR(D20="",F20=""),"chưa rõ",IF(F20&gt;D20,"FRACILE",IF(D20&gt;F20,"Vivoire","hoà")))</f>
        <v>FRACILE</v>
      </c>
      <c r="H20" s="25" t="s">
        <v>132</v>
      </c>
      <c r="I20" s="30" t="s">
        <v>205</v>
      </c>
    </row>
    <row r="21" ht="44" customHeight="1" spans="1:9" x14ac:dyDescent="0.25">
      <c r="A21" s="19" t="s">
        <v>14</v>
      </c>
      <c r="B21" s="20" t="s">
        <v>206</v>
      </c>
      <c r="C21" s="21" t="s">
        <v>207</v>
      </c>
      <c r="D21" s="22">
        <v>2</v>
      </c>
      <c r="E21" s="21" t="s">
        <v>208</v>
      </c>
      <c r="F21" s="22">
        <v>2</v>
      </c>
      <c r="G21" s="23" t="str">
        <f>IF(OR(D21="",F21=""),"chưa rõ",IF(F21&gt;D21,"FRACILE",IF(D21&gt;F21,"Vivoire","hoà")))</f>
        <v>hoà</v>
      </c>
      <c r="H21" s="19" t="s">
        <v>209</v>
      </c>
      <c r="I21" s="24" t="s">
        <v>210</v>
      </c>
    </row>
    <row r="22" ht="44" customHeight="1" spans="1:9" x14ac:dyDescent="0.25">
      <c r="A22" s="25" t="s">
        <v>14</v>
      </c>
      <c r="B22" s="26" t="s">
        <v>211</v>
      </c>
      <c r="C22" s="27" t="s">
        <v>212</v>
      </c>
      <c r="D22" s="28"/>
      <c r="E22" s="27" t="s">
        <v>213</v>
      </c>
      <c r="F22" s="28">
        <v>2</v>
      </c>
      <c r="G22" s="29" t="str">
        <f>IF(OR(D22="",F22=""),"chưa rõ",IF(F22&gt;D22,"FRACILE",IF(D22&gt;F22,"Vivoire","hoà")))</f>
        <v>chưa rõ</v>
      </c>
      <c r="H22" s="25" t="s">
        <v>214</v>
      </c>
      <c r="I22" s="30" t="s">
        <v>215</v>
      </c>
    </row>
    <row r="23" ht="44" customHeight="1" spans="1:9" x14ac:dyDescent="0.25">
      <c r="A23" s="25" t="s">
        <v>14</v>
      </c>
      <c r="B23" s="26" t="s">
        <v>216</v>
      </c>
      <c r="C23" s="27" t="s">
        <v>135</v>
      </c>
      <c r="D23" s="28">
        <v>0</v>
      </c>
      <c r="E23" s="27" t="s">
        <v>217</v>
      </c>
      <c r="F23" s="28">
        <v>2</v>
      </c>
      <c r="G23" s="29" t="str">
        <f>IF(OR(D23="",F23=""),"chưa rõ",IF(F23&gt;D23,"FRACILE",IF(D23&gt;F23,"Vivoire","hoà")))</f>
        <v>FRACILE</v>
      </c>
      <c r="H23" s="25" t="s">
        <v>132</v>
      </c>
      <c r="I23" s="30" t="s">
        <v>218</v>
      </c>
    </row>
    <row r="24" ht="44" customHeight="1" spans="1:9" x14ac:dyDescent="0.25">
      <c r="A24" s="19" t="s">
        <v>14</v>
      </c>
      <c r="B24" s="20" t="s">
        <v>219</v>
      </c>
      <c r="C24" s="21" t="s">
        <v>220</v>
      </c>
      <c r="D24" s="22">
        <v>2</v>
      </c>
      <c r="E24" s="21" t="s">
        <v>221</v>
      </c>
      <c r="F24" s="22">
        <v>2</v>
      </c>
      <c r="G24" s="23" t="str">
        <f>IF(OR(D24="",F24=""),"chưa rõ",IF(F24&gt;D24,"FRACILE",IF(D24&gt;F24,"Vivoire","hoà")))</f>
        <v>hoà</v>
      </c>
      <c r="H24" s="19" t="s">
        <v>132</v>
      </c>
      <c r="I24" s="24" t="s">
        <v>222</v>
      </c>
    </row>
    <row r="25" ht="44" customHeight="1" spans="1:9" x14ac:dyDescent="0.25">
      <c r="A25" s="25" t="s">
        <v>14</v>
      </c>
      <c r="B25" s="26" t="s">
        <v>223</v>
      </c>
      <c r="C25" s="27" t="s">
        <v>135</v>
      </c>
      <c r="D25" s="28">
        <v>0</v>
      </c>
      <c r="E25" s="27" t="s">
        <v>224</v>
      </c>
      <c r="F25" s="28">
        <v>2</v>
      </c>
      <c r="G25" s="29" t="str">
        <f>IF(OR(D25="",F25=""),"chưa rõ",IF(F25&gt;D25,"FRACILE",IF(D25&gt;F25,"Vivoire","hoà")))</f>
        <v>FRACILE</v>
      </c>
      <c r="H25" s="25" t="s">
        <v>225</v>
      </c>
      <c r="I25" s="30" t="s">
        <v>226</v>
      </c>
    </row>
    <row r="26" ht="44" customHeight="1" spans="1:9" x14ac:dyDescent="0.25">
      <c r="A26" s="19" t="s">
        <v>14</v>
      </c>
      <c r="B26" s="20" t="s">
        <v>227</v>
      </c>
      <c r="C26" s="21" t="s">
        <v>228</v>
      </c>
      <c r="D26" s="22">
        <v>2</v>
      </c>
      <c r="E26" s="21" t="s">
        <v>229</v>
      </c>
      <c r="F26" s="22">
        <v>2</v>
      </c>
      <c r="G26" s="23" t="str">
        <f>IF(OR(D26="",F26=""),"chưa rõ",IF(F26&gt;D26,"FRACILE",IF(D26&gt;F26,"Vivoire","hoà")))</f>
        <v>hoà</v>
      </c>
      <c r="H26" s="19" t="s">
        <v>230</v>
      </c>
      <c r="I26" s="24" t="s">
        <v>231</v>
      </c>
    </row>
    <row r="27" ht="44" customHeight="1" spans="1:9" x14ac:dyDescent="0.25">
      <c r="A27" s="19" t="s">
        <v>14</v>
      </c>
      <c r="B27" s="20" t="s">
        <v>232</v>
      </c>
      <c r="C27" s="21" t="s">
        <v>233</v>
      </c>
      <c r="D27" s="22">
        <v>2</v>
      </c>
      <c r="E27" s="21" t="s">
        <v>234</v>
      </c>
      <c r="F27" s="22">
        <v>2</v>
      </c>
      <c r="G27" s="23" t="str">
        <f>IF(OR(D27="",F27=""),"chưa rõ",IF(F27&gt;D27,"FRACILE",IF(D27&gt;F27,"Vivoire","hoà")))</f>
        <v>hoà</v>
      </c>
      <c r="H27" s="19" t="s">
        <v>235</v>
      </c>
      <c r="I27" s="24" t="s">
        <v>236</v>
      </c>
    </row>
    <row r="28" ht="44" customHeight="1" spans="1:9" x14ac:dyDescent="0.25">
      <c r="A28" s="19" t="s">
        <v>14</v>
      </c>
      <c r="B28" s="20" t="s">
        <v>237</v>
      </c>
      <c r="C28" s="21" t="s">
        <v>238</v>
      </c>
      <c r="D28" s="22">
        <v>2</v>
      </c>
      <c r="E28" s="21" t="s">
        <v>239</v>
      </c>
      <c r="F28" s="22">
        <v>2</v>
      </c>
      <c r="G28" s="23" t="str">
        <f>IF(OR(D28="",F28=""),"chưa rõ",IF(F28&gt;D28,"FRACILE",IF(D28&gt;F28,"Vivoire","hoà")))</f>
        <v>hoà</v>
      </c>
      <c r="H28" s="19" t="s">
        <v>240</v>
      </c>
      <c r="I28" s="24" t="s">
        <v>241</v>
      </c>
    </row>
    <row r="29" ht="44" customHeight="1" spans="1:9" x14ac:dyDescent="0.25">
      <c r="A29" s="25" t="s">
        <v>14</v>
      </c>
      <c r="B29" s="26" t="s">
        <v>242</v>
      </c>
      <c r="C29" s="27" t="s">
        <v>135</v>
      </c>
      <c r="D29" s="28">
        <v>0</v>
      </c>
      <c r="E29" s="27" t="s">
        <v>243</v>
      </c>
      <c r="F29" s="28">
        <v>2</v>
      </c>
      <c r="G29" s="29" t="str">
        <f>IF(OR(D29="",F29=""),"chưa rõ",IF(F29&gt;D29,"FRACILE",IF(D29&gt;F29,"Vivoire","hoà")))</f>
        <v>FRACILE</v>
      </c>
      <c r="H29" s="25" t="s">
        <v>132</v>
      </c>
      <c r="I29" s="30" t="s">
        <v>244</v>
      </c>
    </row>
    <row r="30" ht="44" customHeight="1" spans="1:9" x14ac:dyDescent="0.25">
      <c r="A30" s="19" t="s">
        <v>14</v>
      </c>
      <c r="B30" s="20" t="s">
        <v>245</v>
      </c>
      <c r="C30" s="21" t="s">
        <v>246</v>
      </c>
      <c r="D30" s="22">
        <v>2</v>
      </c>
      <c r="E30" s="21" t="s">
        <v>247</v>
      </c>
      <c r="F30" s="22">
        <v>2</v>
      </c>
      <c r="G30" s="23" t="str">
        <f>IF(OR(D30="",F30=""),"chưa rõ",IF(F30&gt;D30,"FRACILE",IF(D30&gt;F30,"Vivoire","hoà")))</f>
        <v>hoà</v>
      </c>
      <c r="H30" s="19" t="s">
        <v>132</v>
      </c>
      <c r="I30" s="24" t="s">
        <v>248</v>
      </c>
    </row>
    <row r="31" ht="44" customHeight="1" spans="1:9" x14ac:dyDescent="0.25">
      <c r="A31" s="25" t="s">
        <v>15</v>
      </c>
      <c r="B31" s="26" t="s">
        <v>249</v>
      </c>
      <c r="C31" s="27" t="s">
        <v>135</v>
      </c>
      <c r="D31" s="28">
        <v>0</v>
      </c>
      <c r="E31" s="27" t="s">
        <v>250</v>
      </c>
      <c r="F31" s="28">
        <v>2</v>
      </c>
      <c r="G31" s="29" t="str">
        <f>IF(OR(D31="",F31=""),"chưa rõ",IF(F31&gt;D31,"FRACILE",IF(D31&gt;F31,"Vivoire","hoà")))</f>
        <v>FRACILE</v>
      </c>
      <c r="H31" s="25" t="s">
        <v>132</v>
      </c>
      <c r="I31" s="30" t="s">
        <v>251</v>
      </c>
    </row>
    <row r="32" ht="44" customHeight="1" spans="1:9" x14ac:dyDescent="0.25">
      <c r="A32" s="25" t="s">
        <v>15</v>
      </c>
      <c r="B32" s="26" t="s">
        <v>252</v>
      </c>
      <c r="C32" s="27" t="s">
        <v>135</v>
      </c>
      <c r="D32" s="28">
        <v>0</v>
      </c>
      <c r="E32" s="27" t="s">
        <v>253</v>
      </c>
      <c r="F32" s="28">
        <v>2</v>
      </c>
      <c r="G32" s="29" t="str">
        <f>IF(OR(D32="",F32=""),"chưa rõ",IF(F32&gt;D32,"FRACILE",IF(D32&gt;F32,"Vivoire","hoà")))</f>
        <v>FRACILE</v>
      </c>
      <c r="H32" s="25" t="s">
        <v>254</v>
      </c>
      <c r="I32" s="30" t="s">
        <v>255</v>
      </c>
    </row>
    <row r="33" ht="44" customHeight="1" spans="1:9" x14ac:dyDescent="0.25">
      <c r="A33" s="25" t="s">
        <v>15</v>
      </c>
      <c r="B33" s="26" t="s">
        <v>256</v>
      </c>
      <c r="C33" s="27" t="s">
        <v>135</v>
      </c>
      <c r="D33" s="28">
        <v>0</v>
      </c>
      <c r="E33" s="27" t="s">
        <v>257</v>
      </c>
      <c r="F33" s="28">
        <v>2</v>
      </c>
      <c r="G33" s="29" t="str">
        <f>IF(OR(D33="",F33=""),"chưa rõ",IF(F33&gt;D33,"FRACILE",IF(D33&gt;F33,"Vivoire","hoà")))</f>
        <v>FRACILE</v>
      </c>
      <c r="H33" s="25" t="s">
        <v>254</v>
      </c>
      <c r="I33" s="30" t="s">
        <v>258</v>
      </c>
    </row>
    <row r="34" ht="44" customHeight="1" spans="1:9" x14ac:dyDescent="0.25">
      <c r="A34" s="25" t="s">
        <v>15</v>
      </c>
      <c r="B34" s="26" t="s">
        <v>259</v>
      </c>
      <c r="C34" s="27" t="s">
        <v>135</v>
      </c>
      <c r="D34" s="28">
        <v>0</v>
      </c>
      <c r="E34" s="27" t="s">
        <v>260</v>
      </c>
      <c r="F34" s="28">
        <v>2</v>
      </c>
      <c r="G34" s="29" t="str">
        <f>IF(OR(D34="",F34=""),"chưa rõ",IF(F34&gt;D34,"FRACILE",IF(D34&gt;F34,"Vivoire","hoà")))</f>
        <v>FRACILE</v>
      </c>
      <c r="H34" s="25" t="s">
        <v>254</v>
      </c>
      <c r="I34" s="30" t="s">
        <v>261</v>
      </c>
    </row>
    <row r="35" ht="44" customHeight="1" spans="1:9" x14ac:dyDescent="0.25">
      <c r="A35" s="25" t="s">
        <v>15</v>
      </c>
      <c r="B35" s="26" t="s">
        <v>262</v>
      </c>
      <c r="C35" s="27" t="s">
        <v>135</v>
      </c>
      <c r="D35" s="28">
        <v>0</v>
      </c>
      <c r="E35" s="27" t="s">
        <v>263</v>
      </c>
      <c r="F35" s="28">
        <v>2</v>
      </c>
      <c r="G35" s="29" t="str">
        <f>IF(OR(D35="",F35=""),"chưa rõ",IF(F35&gt;D35,"FRACILE",IF(D35&gt;F35,"Vivoire","hoà")))</f>
        <v>FRACILE</v>
      </c>
      <c r="H35" s="25" t="s">
        <v>264</v>
      </c>
      <c r="I35" s="30" t="s">
        <v>265</v>
      </c>
    </row>
    <row r="36" ht="44" customHeight="1" spans="1:9" x14ac:dyDescent="0.25">
      <c r="A36" s="19" t="s">
        <v>15</v>
      </c>
      <c r="B36" s="20" t="s">
        <v>266</v>
      </c>
      <c r="C36" s="21" t="s">
        <v>177</v>
      </c>
      <c r="D36" s="22">
        <v>2</v>
      </c>
      <c r="E36" s="21" t="s">
        <v>177</v>
      </c>
      <c r="F36" s="22">
        <v>2</v>
      </c>
      <c r="G36" s="23" t="str">
        <f>IF(OR(D36="",F36=""),"chưa rõ",IF(F36&gt;D36,"FRACILE",IF(D36&gt;F36,"Vivoire","hoà")))</f>
        <v>hoà</v>
      </c>
      <c r="H36" s="19" t="s">
        <v>254</v>
      </c>
      <c r="I36" s="24" t="s">
        <v>267</v>
      </c>
    </row>
    <row r="37" ht="44" customHeight="1" spans="1:9" x14ac:dyDescent="0.25">
      <c r="A37" s="19" t="s">
        <v>15</v>
      </c>
      <c r="B37" s="20" t="s">
        <v>268</v>
      </c>
      <c r="C37" s="21" t="s">
        <v>269</v>
      </c>
      <c r="D37" s="22">
        <v>2</v>
      </c>
      <c r="E37" s="21" t="s">
        <v>270</v>
      </c>
      <c r="F37" s="22">
        <v>1</v>
      </c>
      <c r="G37" s="23" t="str">
        <f>IF(OR(D37="",F37=""),"chưa rõ",IF(F37&gt;D37,"FRACILE",IF(D37&gt;F37,"Vivoire","hoà")))</f>
        <v>Vivoire</v>
      </c>
      <c r="H37" s="19" t="s">
        <v>271</v>
      </c>
      <c r="I37" s="24" t="s">
        <v>272</v>
      </c>
    </row>
    <row r="38" ht="44" customHeight="1" spans="1:9" x14ac:dyDescent="0.25">
      <c r="A38" s="19" t="s">
        <v>15</v>
      </c>
      <c r="B38" s="20" t="s">
        <v>273</v>
      </c>
      <c r="C38" s="21" t="s">
        <v>177</v>
      </c>
      <c r="D38" s="22">
        <v>2</v>
      </c>
      <c r="E38" s="21" t="s">
        <v>274</v>
      </c>
      <c r="F38" s="22">
        <v>2</v>
      </c>
      <c r="G38" s="23" t="str">
        <f>IF(OR(D38="",F38=""),"chưa rõ",IF(F38&gt;D38,"FRACILE",IF(D38&gt;F38,"Vivoire","hoà")))</f>
        <v>hoà</v>
      </c>
      <c r="H38" s="19" t="s">
        <v>254</v>
      </c>
      <c r="I38" s="24" t="s">
        <v>275</v>
      </c>
    </row>
    <row r="39" ht="44" customHeight="1" spans="1:9" x14ac:dyDescent="0.25">
      <c r="A39" s="31" t="s">
        <v>15</v>
      </c>
      <c r="B39" s="32" t="s">
        <v>276</v>
      </c>
      <c r="C39" s="33" t="s">
        <v>277</v>
      </c>
      <c r="D39" s="34">
        <v>2</v>
      </c>
      <c r="E39" s="33" t="s">
        <v>278</v>
      </c>
      <c r="F39" s="34">
        <v>0</v>
      </c>
      <c r="G39" s="35" t="str">
        <f>IF(OR(D39="",F39=""),"chưa rõ",IF(F39&gt;D39,"FRACILE",IF(D39&gt;F39,"Vivoire","hoà")))</f>
        <v>Vivoire</v>
      </c>
      <c r="H39" s="31" t="s">
        <v>155</v>
      </c>
      <c r="I39" s="36" t="s">
        <v>279</v>
      </c>
    </row>
    <row r="40" ht="44" customHeight="1" spans="1:9" x14ac:dyDescent="0.25">
      <c r="A40" s="19" t="s">
        <v>15</v>
      </c>
      <c r="B40" s="20" t="s">
        <v>280</v>
      </c>
      <c r="C40" s="21" t="s">
        <v>195</v>
      </c>
      <c r="D40" s="22"/>
      <c r="E40" s="21" t="s">
        <v>281</v>
      </c>
      <c r="F40" s="22">
        <v>1</v>
      </c>
      <c r="G40" s="23" t="str">
        <f>IF(OR(D40="",F40=""),"chưa rõ",IF(F40&gt;D40,"FRACILE",IF(D40&gt;F40,"Vivoire","hoà")))</f>
        <v>chưa rõ</v>
      </c>
      <c r="H40" s="19" t="s">
        <v>132</v>
      </c>
      <c r="I40" s="24" t="s">
        <v>282</v>
      </c>
    </row>
    <row r="41" ht="44" customHeight="1" spans="1:9" x14ac:dyDescent="0.25">
      <c r="A41" s="31" t="s">
        <v>15</v>
      </c>
      <c r="B41" s="32" t="s">
        <v>283</v>
      </c>
      <c r="C41" s="33" t="s">
        <v>135</v>
      </c>
      <c r="D41" s="34">
        <v>0</v>
      </c>
      <c r="E41" s="33" t="s">
        <v>284</v>
      </c>
      <c r="F41" s="34">
        <v>0</v>
      </c>
      <c r="G41" s="35" t="str">
        <f>IF(OR(D41="",F41=""),"chưa rõ",IF(F41&gt;D41,"FRACILE",IF(D41&gt;F41,"Vivoire","hoà")))</f>
        <v>hoà</v>
      </c>
      <c r="H41" s="31" t="s">
        <v>155</v>
      </c>
      <c r="I41" s="36" t="s">
        <v>285</v>
      </c>
    </row>
    <row r="42" ht="44" customHeight="1" spans="1:9" x14ac:dyDescent="0.25">
      <c r="A42" s="25" t="s">
        <v>15</v>
      </c>
      <c r="B42" s="26" t="s">
        <v>286</v>
      </c>
      <c r="C42" s="27" t="s">
        <v>135</v>
      </c>
      <c r="D42" s="28">
        <v>0</v>
      </c>
      <c r="E42" s="27" t="s">
        <v>287</v>
      </c>
      <c r="F42" s="28">
        <v>2</v>
      </c>
      <c r="G42" s="29" t="str">
        <f>IF(OR(D42="",F42=""),"chưa rõ",IF(F42&gt;D42,"FRACILE",IF(D42&gt;F42,"Vivoire","hoà")))</f>
        <v>FRACILE</v>
      </c>
      <c r="H42" s="25" t="s">
        <v>288</v>
      </c>
      <c r="I42" s="30" t="s">
        <v>289</v>
      </c>
    </row>
    <row r="43" ht="44" customHeight="1" spans="1:9" x14ac:dyDescent="0.25">
      <c r="A43" s="25" t="s">
        <v>15</v>
      </c>
      <c r="B43" s="26" t="s">
        <v>290</v>
      </c>
      <c r="C43" s="27" t="s">
        <v>135</v>
      </c>
      <c r="D43" s="28">
        <v>0</v>
      </c>
      <c r="E43" s="27" t="s">
        <v>291</v>
      </c>
      <c r="F43" s="28">
        <v>2</v>
      </c>
      <c r="G43" s="29" t="str">
        <f>IF(OR(D43="",F43=""),"chưa rõ",IF(F43&gt;D43,"FRACILE",IF(D43&gt;F43,"Vivoire","hoà")))</f>
        <v>FRACILE</v>
      </c>
      <c r="H43" s="25" t="s">
        <v>292</v>
      </c>
      <c r="I43" s="30" t="s">
        <v>293</v>
      </c>
    </row>
    <row r="44" ht="44" customHeight="1" spans="1:9" x14ac:dyDescent="0.25">
      <c r="A44" s="19" t="s">
        <v>16</v>
      </c>
      <c r="B44" s="20" t="s">
        <v>294</v>
      </c>
      <c r="C44" s="21" t="s">
        <v>177</v>
      </c>
      <c r="D44" s="22">
        <v>2</v>
      </c>
      <c r="E44" s="21" t="s">
        <v>295</v>
      </c>
      <c r="F44" s="22">
        <v>2</v>
      </c>
      <c r="G44" s="23" t="str">
        <f>IF(OR(D44="",F44=""),"chưa rõ",IF(F44&gt;D44,"FRACILE",IF(D44&gt;F44,"Vivoire","hoà")))</f>
        <v>hoà</v>
      </c>
      <c r="H44" s="19" t="s">
        <v>132</v>
      </c>
      <c r="I44" s="24" t="s">
        <v>296</v>
      </c>
    </row>
    <row r="45" ht="44" customHeight="1" spans="1:9" x14ac:dyDescent="0.25">
      <c r="A45" s="19" t="s">
        <v>16</v>
      </c>
      <c r="B45" s="20" t="s">
        <v>297</v>
      </c>
      <c r="C45" s="21" t="s">
        <v>177</v>
      </c>
      <c r="D45" s="22">
        <v>2</v>
      </c>
      <c r="E45" s="21" t="s">
        <v>298</v>
      </c>
      <c r="F45" s="22">
        <v>1</v>
      </c>
      <c r="G45" s="23" t="str">
        <f>IF(OR(D45="",F45=""),"chưa rõ",IF(F45&gt;D45,"FRACILE",IF(D45&gt;F45,"Vivoire","hoà")))</f>
        <v>Vivoire</v>
      </c>
      <c r="H45" s="19" t="s">
        <v>132</v>
      </c>
      <c r="I45" s="24" t="s">
        <v>299</v>
      </c>
    </row>
    <row r="46" ht="44" customHeight="1" spans="1:9" x14ac:dyDescent="0.25">
      <c r="A46" s="25" t="s">
        <v>16</v>
      </c>
      <c r="B46" s="26" t="s">
        <v>300</v>
      </c>
      <c r="C46" s="27" t="s">
        <v>301</v>
      </c>
      <c r="D46" s="28">
        <v>1</v>
      </c>
      <c r="E46" s="27" t="s">
        <v>302</v>
      </c>
      <c r="F46" s="28">
        <v>2</v>
      </c>
      <c r="G46" s="29" t="str">
        <f>IF(OR(D46="",F46=""),"chưa rõ",IF(F46&gt;D46,"FRACILE",IF(D46&gt;F46,"Vivoire","hoà")))</f>
        <v>FRACILE</v>
      </c>
      <c r="H46" s="25" t="s">
        <v>303</v>
      </c>
      <c r="I46" s="30" t="s">
        <v>304</v>
      </c>
    </row>
    <row r="47" ht="44" customHeight="1" spans="1:9" x14ac:dyDescent="0.25">
      <c r="A47" s="25" t="s">
        <v>16</v>
      </c>
      <c r="B47" s="26" t="s">
        <v>305</v>
      </c>
      <c r="C47" s="27" t="s">
        <v>306</v>
      </c>
      <c r="D47" s="28"/>
      <c r="E47" s="27" t="s">
        <v>307</v>
      </c>
      <c r="F47" s="28">
        <v>2</v>
      </c>
      <c r="G47" s="29" t="str">
        <f>IF(OR(D47="",F47=""),"chưa rõ",IF(F47&gt;D47,"FRACILE",IF(D47&gt;F47,"Vivoire","hoà")))</f>
        <v>chưa rõ</v>
      </c>
      <c r="H47" s="25" t="s">
        <v>308</v>
      </c>
      <c r="I47" s="30" t="s">
        <v>309</v>
      </c>
    </row>
    <row r="48" ht="44" customHeight="1" spans="1:9" x14ac:dyDescent="0.25">
      <c r="A48" s="19" t="s">
        <v>17</v>
      </c>
      <c r="B48" s="20" t="s">
        <v>310</v>
      </c>
      <c r="C48" s="21" t="s">
        <v>177</v>
      </c>
      <c r="D48" s="22">
        <v>2</v>
      </c>
      <c r="E48" s="21" t="s">
        <v>311</v>
      </c>
      <c r="F48" s="22">
        <v>2</v>
      </c>
      <c r="G48" s="23" t="str">
        <f>IF(OR(D48="",F48=""),"chưa rõ",IF(F48&gt;D48,"FRACILE",IF(D48&gt;F48,"Vivoire","hoà")))</f>
        <v>hoà</v>
      </c>
      <c r="H48" s="19" t="s">
        <v>132</v>
      </c>
      <c r="I48" s="24" t="s">
        <v>312</v>
      </c>
    </row>
    <row r="49" ht="44" customHeight="1" spans="1:9" x14ac:dyDescent="0.25">
      <c r="A49" s="19" t="s">
        <v>17</v>
      </c>
      <c r="B49" s="20" t="s">
        <v>313</v>
      </c>
      <c r="C49" s="21" t="s">
        <v>177</v>
      </c>
      <c r="D49" s="22">
        <v>2</v>
      </c>
      <c r="E49" s="21" t="s">
        <v>314</v>
      </c>
      <c r="F49" s="22">
        <v>1</v>
      </c>
      <c r="G49" s="23" t="str">
        <f>IF(OR(D49="",F49=""),"chưa rõ",IF(F49&gt;D49,"FRACILE",IF(D49&gt;F49,"Vivoire","hoà")))</f>
        <v>Vivoire</v>
      </c>
      <c r="H49" s="19" t="s">
        <v>315</v>
      </c>
      <c r="I49" s="24" t="s">
        <v>316</v>
      </c>
    </row>
    <row r="50" ht="44" customHeight="1" spans="1:9" x14ac:dyDescent="0.25">
      <c r="A50" s="19" t="s">
        <v>17</v>
      </c>
      <c r="B50" s="20" t="s">
        <v>37</v>
      </c>
      <c r="C50" s="21" t="s">
        <v>177</v>
      </c>
      <c r="D50" s="22">
        <v>2</v>
      </c>
      <c r="E50" s="21" t="s">
        <v>317</v>
      </c>
      <c r="F50" s="22">
        <v>1</v>
      </c>
      <c r="G50" s="23" t="str">
        <f>IF(OR(D50="",F50=""),"chưa rõ",IF(F50&gt;D50,"FRACILE",IF(D50&gt;F50,"Vivoire","hoà")))</f>
        <v>Vivoire</v>
      </c>
      <c r="H50" s="19" t="s">
        <v>315</v>
      </c>
      <c r="I50" s="24" t="s">
        <v>318</v>
      </c>
    </row>
    <row r="51" ht="44" customHeight="1" spans="1:9" x14ac:dyDescent="0.25">
      <c r="A51" s="19" t="s">
        <v>17</v>
      </c>
      <c r="B51" s="20" t="s">
        <v>319</v>
      </c>
      <c r="C51" s="21" t="s">
        <v>320</v>
      </c>
      <c r="D51" s="22">
        <v>2</v>
      </c>
      <c r="E51" s="21" t="s">
        <v>321</v>
      </c>
      <c r="F51" s="22">
        <v>1</v>
      </c>
      <c r="G51" s="23" t="str">
        <f>IF(OR(D51="",F51=""),"chưa rõ",IF(F51&gt;D51,"FRACILE",IF(D51&gt;F51,"Vivoire","hoà")))</f>
        <v>Vivoire</v>
      </c>
      <c r="H51" s="19" t="s">
        <v>132</v>
      </c>
      <c r="I51" s="24" t="s">
        <v>322</v>
      </c>
    </row>
    <row r="52" ht="44" customHeight="1" spans="1:9" x14ac:dyDescent="0.25">
      <c r="A52" s="25" t="s">
        <v>17</v>
      </c>
      <c r="B52" s="26" t="s">
        <v>323</v>
      </c>
      <c r="C52" s="27" t="s">
        <v>324</v>
      </c>
      <c r="D52" s="28">
        <v>1</v>
      </c>
      <c r="E52" s="27" t="s">
        <v>325</v>
      </c>
      <c r="F52" s="28">
        <v>2</v>
      </c>
      <c r="G52" s="29" t="str">
        <f>IF(OR(D52="",F52=""),"chưa rõ",IF(F52&gt;D52,"FRACILE",IF(D52&gt;F52,"Vivoire","hoà")))</f>
        <v>FRACILE</v>
      </c>
      <c r="H52" s="25" t="s">
        <v>132</v>
      </c>
      <c r="I52" s="30" t="s">
        <v>326</v>
      </c>
    </row>
    <row r="53" ht="44" customHeight="1" spans="1:9" x14ac:dyDescent="0.25">
      <c r="A53" s="25" t="s">
        <v>17</v>
      </c>
      <c r="B53" s="26" t="s">
        <v>327</v>
      </c>
      <c r="C53" s="27" t="s">
        <v>135</v>
      </c>
      <c r="D53" s="28">
        <v>0</v>
      </c>
      <c r="E53" s="27" t="s">
        <v>328</v>
      </c>
      <c r="F53" s="28">
        <v>2</v>
      </c>
      <c r="G53" s="29" t="str">
        <f>IF(OR(D53="",F53=""),"chưa rõ",IF(F53&gt;D53,"FRACILE",IF(D53&gt;F53,"Vivoire","hoà")))</f>
        <v>FRACILE</v>
      </c>
      <c r="H53" s="25" t="s">
        <v>132</v>
      </c>
      <c r="I53" s="30" t="s">
        <v>329</v>
      </c>
    </row>
    <row r="54" ht="44" customHeight="1" spans="1:9" x14ac:dyDescent="0.25">
      <c r="A54" s="25" t="s">
        <v>12</v>
      </c>
      <c r="B54" s="26" t="s">
        <v>330</v>
      </c>
      <c r="C54" s="27" t="s">
        <v>135</v>
      </c>
      <c r="D54" s="28">
        <v>0</v>
      </c>
      <c r="E54" s="27" t="s">
        <v>331</v>
      </c>
      <c r="F54" s="28">
        <v>2</v>
      </c>
      <c r="G54" s="29" t="str">
        <f>IF(OR(D54="",F54=""),"chưa rõ",IF(F54&gt;D54,"FRACILE",IF(D54&gt;F54,"Vivoire","hoà")))</f>
        <v>FRACILE</v>
      </c>
      <c r="H54" s="25" t="s">
        <v>132</v>
      </c>
      <c r="I54" s="30" t="s">
        <v>332</v>
      </c>
    </row>
    <row r="55" ht="44" customHeight="1" spans="1:9" x14ac:dyDescent="0.25">
      <c r="A55" s="25" t="s">
        <v>13</v>
      </c>
      <c r="B55" s="26" t="s">
        <v>333</v>
      </c>
      <c r="C55" s="27" t="s">
        <v>135</v>
      </c>
      <c r="D55" s="28">
        <v>0</v>
      </c>
      <c r="E55" s="27" t="s">
        <v>334</v>
      </c>
      <c r="F55" s="28">
        <v>2</v>
      </c>
      <c r="G55" s="29" t="str">
        <f>IF(OR(D55="",F55=""),"chưa rõ",IF(F55&gt;D55,"FRACILE",IF(D55&gt;F55,"Vivoire","hoà")))</f>
        <v>FRACILE</v>
      </c>
      <c r="H55" s="25" t="s">
        <v>335</v>
      </c>
      <c r="I55" s="30" t="s">
        <v>336</v>
      </c>
    </row>
    <row r="56" ht="44" customHeight="1" spans="1:9" x14ac:dyDescent="0.25">
      <c r="A56" s="25" t="s">
        <v>15</v>
      </c>
      <c r="B56" s="26" t="s">
        <v>337</v>
      </c>
      <c r="C56" s="27" t="s">
        <v>135</v>
      </c>
      <c r="D56" s="28">
        <v>0</v>
      </c>
      <c r="E56" s="27" t="s">
        <v>338</v>
      </c>
      <c r="F56" s="28">
        <v>2</v>
      </c>
      <c r="G56" s="29" t="str">
        <f>IF(OR(D56="",F56=""),"chưa rõ",IF(F56&gt;D56,"FRACILE",IF(D56&gt;F56,"Vivoire","hoà")))</f>
        <v>FRACILE</v>
      </c>
      <c r="H56" s="25" t="s">
        <v>339</v>
      </c>
      <c r="I56" s="30" t="s">
        <v>340</v>
      </c>
    </row>
    <row r="57" ht="44" customHeight="1" spans="1:9" x14ac:dyDescent="0.25">
      <c r="A57" s="25" t="s">
        <v>14</v>
      </c>
      <c r="B57" s="26" t="s">
        <v>341</v>
      </c>
      <c r="C57" s="27" t="s">
        <v>135</v>
      </c>
      <c r="D57" s="28">
        <v>0</v>
      </c>
      <c r="E57" s="27" t="s">
        <v>342</v>
      </c>
      <c r="F57" s="28">
        <v>2</v>
      </c>
      <c r="G57" s="29" t="str">
        <f>IF(OR(D57="",F57=""),"chưa rõ",IF(F57&gt;D57,"FRACILE",IF(D57&gt;F57,"Vivoire","hoà")))</f>
        <v>FRACILE</v>
      </c>
      <c r="H57" s="25" t="s">
        <v>343</v>
      </c>
      <c r="I57" s="30" t="s">
        <v>344</v>
      </c>
    </row>
    <row r="58" ht="44" customHeight="1" spans="1:9" x14ac:dyDescent="0.25">
      <c r="A58" s="19" t="s">
        <v>13</v>
      </c>
      <c r="B58" s="20" t="s">
        <v>345</v>
      </c>
      <c r="C58" s="21" t="s">
        <v>346</v>
      </c>
      <c r="D58" s="22">
        <v>2</v>
      </c>
      <c r="E58" s="21" t="s">
        <v>347</v>
      </c>
      <c r="F58" s="22">
        <v>1</v>
      </c>
      <c r="G58" s="23" t="str">
        <f>IF(OR(D58="",F58=""),"chưa rõ",IF(F58&gt;D58,"FRACILE",IF(D58&gt;F58,"Vivoire","hoà")))</f>
        <v>Vivoire</v>
      </c>
      <c r="H58" s="19" t="s">
        <v>348</v>
      </c>
      <c r="I58" s="24" t="s">
        <v>349</v>
      </c>
    </row>
    <row r="59" ht="44" customHeight="1" spans="1:9" x14ac:dyDescent="0.25">
      <c r="A59" s="19" t="s">
        <v>13</v>
      </c>
      <c r="B59" s="20" t="s">
        <v>350</v>
      </c>
      <c r="C59" s="21" t="s">
        <v>351</v>
      </c>
      <c r="D59" s="22">
        <v>2</v>
      </c>
      <c r="E59" s="21" t="s">
        <v>352</v>
      </c>
      <c r="F59" s="22">
        <v>2</v>
      </c>
      <c r="G59" s="23" t="str">
        <f>IF(OR(D59="",F59=""),"chưa rõ",IF(F59&gt;D59,"FRACILE",IF(D59&gt;F59,"Vivoire","hoà")))</f>
        <v>hoà</v>
      </c>
      <c r="H59" s="19" t="s">
        <v>353</v>
      </c>
      <c r="I59" s="24" t="s">
        <v>354</v>
      </c>
    </row>
    <row r="60" ht="44" customHeight="1" spans="1:9" x14ac:dyDescent="0.25">
      <c r="A60" s="19" t="s">
        <v>13</v>
      </c>
      <c r="B60" s="20" t="s">
        <v>355</v>
      </c>
      <c r="C60" s="21" t="s">
        <v>356</v>
      </c>
      <c r="D60" s="22">
        <v>2</v>
      </c>
      <c r="E60" s="21" t="s">
        <v>357</v>
      </c>
      <c r="F60" s="22">
        <v>2</v>
      </c>
      <c r="G60" s="23" t="str">
        <f>IF(OR(D60="",F60=""),"chưa rõ",IF(F60&gt;D60,"FRACILE",IF(D60&gt;F60,"Vivoire","hoà")))</f>
        <v>hoà</v>
      </c>
      <c r="H60" s="19" t="s">
        <v>358</v>
      </c>
      <c r="I60" s="24" t="s">
        <v>359</v>
      </c>
    </row>
    <row r="61" ht="44" customHeight="1" spans="1:9" x14ac:dyDescent="0.25">
      <c r="A61" s="25" t="s">
        <v>14</v>
      </c>
      <c r="B61" s="26" t="s">
        <v>360</v>
      </c>
      <c r="C61" s="27" t="s">
        <v>361</v>
      </c>
      <c r="D61" s="28">
        <v>0</v>
      </c>
      <c r="E61" s="27" t="s">
        <v>362</v>
      </c>
      <c r="F61" s="28">
        <v>2</v>
      </c>
      <c r="G61" s="29" t="str">
        <f>IF(OR(D61="",F61=""),"chưa rõ",IF(F61&gt;D61,"FRACILE",IF(D61&gt;F61,"Vivoire","hoà")))</f>
        <v>FRACILE</v>
      </c>
      <c r="H61" s="25" t="s">
        <v>209</v>
      </c>
      <c r="I61" s="30" t="s">
        <v>363</v>
      </c>
    </row>
    <row r="62" ht="44" customHeight="1" spans="1:9" x14ac:dyDescent="0.25">
      <c r="A62" s="25" t="s">
        <v>14</v>
      </c>
      <c r="B62" s="26" t="s">
        <v>364</v>
      </c>
      <c r="C62" s="27" t="s">
        <v>365</v>
      </c>
      <c r="D62" s="28">
        <v>0</v>
      </c>
      <c r="E62" s="27" t="s">
        <v>366</v>
      </c>
      <c r="F62" s="28">
        <v>2</v>
      </c>
      <c r="G62" s="29" t="str">
        <f>IF(OR(D62="",F62=""),"chưa rõ",IF(F62&gt;D62,"FRACILE",IF(D62&gt;F62,"Vivoire","hoà")))</f>
        <v>FRACILE</v>
      </c>
      <c r="H62" s="25" t="s">
        <v>367</v>
      </c>
      <c r="I62" s="30" t="s">
        <v>368</v>
      </c>
    </row>
    <row r="63" ht="44" customHeight="1" spans="1:9" x14ac:dyDescent="0.25">
      <c r="A63" s="25" t="s">
        <v>14</v>
      </c>
      <c r="B63" s="26" t="s">
        <v>369</v>
      </c>
      <c r="C63" s="27" t="s">
        <v>370</v>
      </c>
      <c r="D63" s="28">
        <v>0</v>
      </c>
      <c r="E63" s="27" t="s">
        <v>371</v>
      </c>
      <c r="F63" s="28">
        <v>2</v>
      </c>
      <c r="G63" s="29" t="str">
        <f>IF(OR(D63="",F63=""),"chưa rõ",IF(F63&gt;D63,"FRACILE",IF(D63&gt;F63,"Vivoire","hoà")))</f>
        <v>FRACILE</v>
      </c>
      <c r="H63" s="25" t="s">
        <v>132</v>
      </c>
      <c r="I63" s="30" t="s">
        <v>372</v>
      </c>
    </row>
    <row r="64" ht="44" customHeight="1" spans="1:9" x14ac:dyDescent="0.25">
      <c r="A64" s="25" t="s">
        <v>14</v>
      </c>
      <c r="B64" s="26" t="s">
        <v>373</v>
      </c>
      <c r="C64" s="27" t="s">
        <v>370</v>
      </c>
      <c r="D64" s="28">
        <v>0</v>
      </c>
      <c r="E64" s="27" t="s">
        <v>374</v>
      </c>
      <c r="F64" s="28">
        <v>2</v>
      </c>
      <c r="G64" s="29" t="str">
        <f>IF(OR(D64="",F64=""),"chưa rõ",IF(F64&gt;D64,"FRACILE",IF(D64&gt;F64,"Vivoire","hoà")))</f>
        <v>FRACILE</v>
      </c>
      <c r="H64" s="25" t="s">
        <v>375</v>
      </c>
      <c r="I64" s="30" t="s">
        <v>376</v>
      </c>
    </row>
    <row r="65" ht="44" customHeight="1" spans="1:9" x14ac:dyDescent="0.25">
      <c r="A65" s="25" t="s">
        <v>14</v>
      </c>
      <c r="B65" s="26" t="s">
        <v>377</v>
      </c>
      <c r="C65" s="27" t="s">
        <v>370</v>
      </c>
      <c r="D65" s="28">
        <v>0</v>
      </c>
      <c r="E65" s="27" t="s">
        <v>378</v>
      </c>
      <c r="F65" s="28">
        <v>2</v>
      </c>
      <c r="G65" s="29" t="str">
        <f>IF(OR(D65="",F65=""),"chưa rõ",IF(F65&gt;D65,"FRACILE",IF(D65&gt;F65,"Vivoire","hoà")))</f>
        <v>FRACILE</v>
      </c>
      <c r="H65" s="25" t="s">
        <v>379</v>
      </c>
      <c r="I65" s="30" t="s">
        <v>380</v>
      </c>
    </row>
    <row r="66" ht="44" customHeight="1" spans="1:9" x14ac:dyDescent="0.25">
      <c r="A66" s="25" t="s">
        <v>14</v>
      </c>
      <c r="B66" s="26" t="s">
        <v>381</v>
      </c>
      <c r="C66" s="27" t="s">
        <v>135</v>
      </c>
      <c r="D66" s="28">
        <v>0</v>
      </c>
      <c r="E66" s="27" t="s">
        <v>382</v>
      </c>
      <c r="F66" s="28">
        <v>2</v>
      </c>
      <c r="G66" s="29" t="str">
        <f>IF(OR(D66="",F66=""),"chưa rõ",IF(F66&gt;D66,"FRACILE",IF(D66&gt;F66,"Vivoire","hoà")))</f>
        <v>FRACILE</v>
      </c>
      <c r="H66" s="25" t="s">
        <v>132</v>
      </c>
      <c r="I66" s="30" t="s">
        <v>383</v>
      </c>
    </row>
    <row r="67" ht="44" customHeight="1" spans="1:9" x14ac:dyDescent="0.25">
      <c r="A67" s="25" t="s">
        <v>12</v>
      </c>
      <c r="B67" s="26" t="s">
        <v>384</v>
      </c>
      <c r="C67" s="27" t="s">
        <v>135</v>
      </c>
      <c r="D67" s="28">
        <v>0</v>
      </c>
      <c r="E67" s="27" t="s">
        <v>385</v>
      </c>
      <c r="F67" s="28">
        <v>2</v>
      </c>
      <c r="G67" s="29" t="str">
        <f>IF(OR(D67="",F67=""),"chưa rõ",IF(F67&gt;D67,"FRACILE",IF(D67&gt;F67,"Vivoire","hoà")))</f>
        <v>FRACILE</v>
      </c>
      <c r="H67" s="25" t="s">
        <v>386</v>
      </c>
      <c r="I67" s="30" t="s">
        <v>387</v>
      </c>
    </row>
    <row r="68" ht="44" customHeight="1" spans="1:9" x14ac:dyDescent="0.25">
      <c r="A68" s="25" t="s">
        <v>12</v>
      </c>
      <c r="B68" s="26" t="s">
        <v>388</v>
      </c>
      <c r="C68" s="27" t="s">
        <v>135</v>
      </c>
      <c r="D68" s="28">
        <v>0</v>
      </c>
      <c r="E68" s="27" t="s">
        <v>389</v>
      </c>
      <c r="F68" s="28">
        <v>2</v>
      </c>
      <c r="G68" s="29" t="str">
        <f>IF(OR(D68="",F68=""),"chưa rõ",IF(F68&gt;D68,"FRACILE",IF(D68&gt;F68,"Vivoire","hoà")))</f>
        <v>FRACILE</v>
      </c>
      <c r="H68" s="25" t="s">
        <v>390</v>
      </c>
      <c r="I68" s="30" t="s">
        <v>391</v>
      </c>
    </row>
    <row r="69" ht="44" customHeight="1" spans="1:9" x14ac:dyDescent="0.25">
      <c r="A69" s="25" t="s">
        <v>12</v>
      </c>
      <c r="B69" s="26" t="s">
        <v>392</v>
      </c>
      <c r="C69" s="27" t="s">
        <v>135</v>
      </c>
      <c r="D69" s="28">
        <v>0</v>
      </c>
      <c r="E69" s="27" t="s">
        <v>393</v>
      </c>
      <c r="F69" s="28">
        <v>2</v>
      </c>
      <c r="G69" s="29" t="str">
        <f>IF(OR(D69="",F69=""),"chưa rõ",IF(F69&gt;D69,"FRACILE",IF(D69&gt;F69,"Vivoire","hoà")))</f>
        <v>FRACILE</v>
      </c>
      <c r="H69" s="25" t="s">
        <v>132</v>
      </c>
      <c r="I69" s="30" t="s">
        <v>394</v>
      </c>
    </row>
    <row r="70" ht="44" customHeight="1" spans="1:9" x14ac:dyDescent="0.25">
      <c r="A70" s="25" t="s">
        <v>14</v>
      </c>
      <c r="B70" s="26" t="s">
        <v>395</v>
      </c>
      <c r="C70" s="27" t="s">
        <v>135</v>
      </c>
      <c r="D70" s="28">
        <v>0</v>
      </c>
      <c r="E70" s="27" t="s">
        <v>396</v>
      </c>
      <c r="F70" s="28">
        <v>2</v>
      </c>
      <c r="G70" s="29" t="str">
        <f>IF(OR(D70="",F70=""),"chưa rõ",IF(F70&gt;D70,"FRACILE",IF(D70&gt;F70,"Vivoire","hoà")))</f>
        <v>FRACILE</v>
      </c>
      <c r="H70" s="25" t="s">
        <v>132</v>
      </c>
      <c r="I70" s="30" t="s">
        <v>397</v>
      </c>
    </row>
    <row r="71" ht="44" customHeight="1" spans="1:9" x14ac:dyDescent="0.25">
      <c r="A71" s="25" t="s">
        <v>15</v>
      </c>
      <c r="B71" s="26" t="s">
        <v>398</v>
      </c>
      <c r="C71" s="27" t="s">
        <v>135</v>
      </c>
      <c r="D71" s="28">
        <v>0</v>
      </c>
      <c r="E71" s="27" t="s">
        <v>399</v>
      </c>
      <c r="F71" s="28">
        <v>2</v>
      </c>
      <c r="G71" s="29" t="str">
        <f>IF(OR(D71="",F71=""),"chưa rõ",IF(F71&gt;D71,"FRACILE",IF(D71&gt;F71,"Vivoire","hoà")))</f>
        <v>FRACILE</v>
      </c>
      <c r="H71" s="25" t="s">
        <v>400</v>
      </c>
      <c r="I71" s="30" t="s">
        <v>401</v>
      </c>
    </row>
    <row r="72" ht="44" customHeight="1" spans="1:9" x14ac:dyDescent="0.25">
      <c r="A72" s="25" t="s">
        <v>15</v>
      </c>
      <c r="B72" s="26" t="s">
        <v>402</v>
      </c>
      <c r="C72" s="27" t="s">
        <v>135</v>
      </c>
      <c r="D72" s="28">
        <v>0</v>
      </c>
      <c r="E72" s="27" t="s">
        <v>403</v>
      </c>
      <c r="F72" s="28">
        <v>2</v>
      </c>
      <c r="G72" s="29" t="str">
        <f>IF(OR(D72="",F72=""),"chưa rõ",IF(F72&gt;D72,"FRACILE",IF(D72&gt;F72,"Vivoire","hoà")))</f>
        <v>FRACILE</v>
      </c>
      <c r="H72" s="25" t="s">
        <v>132</v>
      </c>
      <c r="I72" s="30" t="s">
        <v>404</v>
      </c>
    </row>
    <row r="73" ht="44" customHeight="1" spans="1:9" x14ac:dyDescent="0.25">
      <c r="A73" s="25" t="s">
        <v>17</v>
      </c>
      <c r="B73" s="26" t="s">
        <v>405</v>
      </c>
      <c r="C73" s="27" t="s">
        <v>135</v>
      </c>
      <c r="D73" s="28">
        <v>0</v>
      </c>
      <c r="E73" s="27" t="s">
        <v>406</v>
      </c>
      <c r="F73" s="28">
        <v>2</v>
      </c>
      <c r="G73" s="29" t="str">
        <f>IF(OR(D73="",F73=""),"chưa rõ",IF(F73&gt;D73,"FRACILE",IF(D73&gt;F73,"Vivoire","hoà")))</f>
        <v>FRACILE</v>
      </c>
      <c r="H73" s="25" t="s">
        <v>407</v>
      </c>
      <c r="I73" s="30" t="s">
        <v>408</v>
      </c>
    </row>
    <row r="74" ht="44" customHeight="1" spans="1:9" x14ac:dyDescent="0.25">
      <c r="A74" s="25" t="s">
        <v>12</v>
      </c>
      <c r="B74" s="26" t="s">
        <v>409</v>
      </c>
      <c r="C74" s="27" t="s">
        <v>135</v>
      </c>
      <c r="D74" s="28">
        <v>0</v>
      </c>
      <c r="E74" s="27" t="s">
        <v>410</v>
      </c>
      <c r="F74" s="28">
        <v>2</v>
      </c>
      <c r="G74" s="29" t="str">
        <f>IF(OR(D74="",F74=""),"chưa rõ",IF(F74&gt;D74,"FRACILE",IF(D74&gt;F74,"Vivoire","hoà")))</f>
        <v>FRACILE</v>
      </c>
      <c r="H74" s="25" t="s">
        <v>132</v>
      </c>
      <c r="I74" s="30" t="s">
        <v>411</v>
      </c>
    </row>
    <row r="75" ht="44" customHeight="1" spans="1:9" x14ac:dyDescent="0.25">
      <c r="A75" s="25" t="s">
        <v>11</v>
      </c>
      <c r="B75" s="26" t="s">
        <v>412</v>
      </c>
      <c r="C75" s="27" t="s">
        <v>135</v>
      </c>
      <c r="D75" s="28">
        <v>0</v>
      </c>
      <c r="E75" s="27" t="s">
        <v>413</v>
      </c>
      <c r="F75" s="28">
        <v>2</v>
      </c>
      <c r="G75" s="29" t="str">
        <f>IF(OR(D75="",F75=""),"chưa rõ",IF(F75&gt;D75,"FRACILE",IF(D75&gt;F75,"Vivoire","hoà")))</f>
        <v>FRACILE</v>
      </c>
      <c r="H75" s="25" t="s">
        <v>414</v>
      </c>
      <c r="I75" s="30" t="s">
        <v>415</v>
      </c>
    </row>
    <row r="76" ht="44" customHeight="1" spans="1:9" x14ac:dyDescent="0.25">
      <c r="A76" s="25" t="s">
        <v>14</v>
      </c>
      <c r="B76" s="26" t="s">
        <v>416</v>
      </c>
      <c r="C76" s="27" t="s">
        <v>135</v>
      </c>
      <c r="D76" s="28">
        <v>0</v>
      </c>
      <c r="E76" s="27" t="s">
        <v>417</v>
      </c>
      <c r="F76" s="28">
        <v>2</v>
      </c>
      <c r="G76" s="29" t="str">
        <f>IF(OR(D76="",F76=""),"chưa rõ",IF(F76&gt;D76,"FRACILE",IF(D76&gt;F76,"Vivoire","hoà")))</f>
        <v>FRACILE</v>
      </c>
      <c r="H76" s="25" t="s">
        <v>132</v>
      </c>
      <c r="I76" s="30" t="s">
        <v>418</v>
      </c>
    </row>
    <row r="77" ht="44" customHeight="1" spans="1:9" x14ac:dyDescent="0.25">
      <c r="A77" s="19" t="s">
        <v>14</v>
      </c>
      <c r="B77" s="20" t="s">
        <v>419</v>
      </c>
      <c r="C77" s="21" t="s">
        <v>135</v>
      </c>
      <c r="D77" s="22">
        <v>0</v>
      </c>
      <c r="E77" s="21" t="s">
        <v>420</v>
      </c>
      <c r="F77" s="22">
        <v>1</v>
      </c>
      <c r="G77" s="23" t="str">
        <f>IF(OR(D77="",F77=""),"chưa rõ",IF(F77&gt;D77,"FRACILE",IF(D77&gt;F77,"Vivoire","hoà")))</f>
        <v>FRACILE</v>
      </c>
      <c r="H77" s="19" t="s">
        <v>421</v>
      </c>
      <c r="I77" s="24" t="s">
        <v>422</v>
      </c>
    </row>
    <row r="78" ht="44" customHeight="1" spans="1:9" x14ac:dyDescent="0.25">
      <c r="A78" s="25" t="s">
        <v>14</v>
      </c>
      <c r="B78" s="26" t="s">
        <v>423</v>
      </c>
      <c r="C78" s="27" t="s">
        <v>135</v>
      </c>
      <c r="D78" s="28">
        <v>0</v>
      </c>
      <c r="E78" s="27" t="s">
        <v>424</v>
      </c>
      <c r="F78" s="28">
        <v>2</v>
      </c>
      <c r="G78" s="29" t="str">
        <f>IF(OR(D78="",F78=""),"chưa rõ",IF(F78&gt;D78,"FRACILE",IF(D78&gt;F78,"Vivoire","hoà")))</f>
        <v>FRACILE</v>
      </c>
      <c r="H78" s="25" t="s">
        <v>132</v>
      </c>
      <c r="I78" s="30" t="s">
        <v>425</v>
      </c>
    </row>
    <row r="79" ht="44" customHeight="1" spans="1:9" x14ac:dyDescent="0.25">
      <c r="A79" s="25" t="s">
        <v>14</v>
      </c>
      <c r="B79" s="26" t="s">
        <v>426</v>
      </c>
      <c r="C79" s="27" t="s">
        <v>135</v>
      </c>
      <c r="D79" s="28">
        <v>0</v>
      </c>
      <c r="E79" s="27" t="s">
        <v>427</v>
      </c>
      <c r="F79" s="28">
        <v>2</v>
      </c>
      <c r="G79" s="29" t="str">
        <f>IF(OR(D79="",F79=""),"chưa rõ",IF(F79&gt;D79,"FRACILE",IF(D79&gt;F79,"Vivoire","hoà")))</f>
        <v>FRACILE</v>
      </c>
      <c r="H79" s="25" t="s">
        <v>428</v>
      </c>
      <c r="I79" s="30" t="s">
        <v>429</v>
      </c>
    </row>
    <row r="80" ht="44" customHeight="1" spans="1:9" x14ac:dyDescent="0.25">
      <c r="A80" s="25" t="s">
        <v>14</v>
      </c>
      <c r="B80" s="26" t="s">
        <v>430</v>
      </c>
      <c r="C80" s="27" t="s">
        <v>135</v>
      </c>
      <c r="D80" s="28">
        <v>0</v>
      </c>
      <c r="E80" s="27" t="s">
        <v>431</v>
      </c>
      <c r="F80" s="28">
        <v>2</v>
      </c>
      <c r="G80" s="29" t="str">
        <f>IF(OR(D80="",F80=""),"chưa rõ",IF(F80&gt;D80,"FRACILE",IF(D80&gt;F80,"Vivoire","hoà")))</f>
        <v>FRACILE</v>
      </c>
      <c r="H80" s="25" t="s">
        <v>132</v>
      </c>
      <c r="I80" s="30" t="s">
        <v>432</v>
      </c>
    </row>
    <row r="81" ht="44" customHeight="1" spans="1:9" x14ac:dyDescent="0.25">
      <c r="A81" s="25" t="s">
        <v>14</v>
      </c>
      <c r="B81" s="26" t="s">
        <v>433</v>
      </c>
      <c r="C81" s="27" t="s">
        <v>434</v>
      </c>
      <c r="D81" s="28"/>
      <c r="E81" s="27" t="s">
        <v>435</v>
      </c>
      <c r="F81" s="28">
        <v>2</v>
      </c>
      <c r="G81" s="29" t="str">
        <f>IF(OR(D81="",F81=""),"chưa rõ",IF(F81&gt;D81,"FRACILE",IF(D81&gt;F81,"Vivoire","hoà")))</f>
        <v>chưa rõ</v>
      </c>
      <c r="H81" s="25" t="s">
        <v>132</v>
      </c>
      <c r="I81" s="30" t="s">
        <v>436</v>
      </c>
    </row>
    <row r="82" ht="44" customHeight="1" spans="1:9" x14ac:dyDescent="0.25">
      <c r="A82" s="25" t="s">
        <v>17</v>
      </c>
      <c r="B82" s="26" t="s">
        <v>437</v>
      </c>
      <c r="C82" s="27" t="s">
        <v>434</v>
      </c>
      <c r="D82" s="28"/>
      <c r="E82" s="27" t="s">
        <v>438</v>
      </c>
      <c r="F82" s="28">
        <v>2</v>
      </c>
      <c r="G82" s="29" t="str">
        <f>IF(OR(D82="",F82=""),"chưa rõ",IF(F82&gt;D82,"FRACILE",IF(D82&gt;F82,"Vivoire","hoà")))</f>
        <v>chưa rõ</v>
      </c>
      <c r="H82" s="25" t="s">
        <v>132</v>
      </c>
      <c r="I82" s="30" t="s">
        <v>439</v>
      </c>
    </row>
    <row r="83" ht="44" customHeight="1" spans="1:9" x14ac:dyDescent="0.25">
      <c r="A83" s="25" t="s">
        <v>14</v>
      </c>
      <c r="B83" s="26" t="s">
        <v>440</v>
      </c>
      <c r="C83" s="27" t="s">
        <v>441</v>
      </c>
      <c r="D83" s="28">
        <v>0</v>
      </c>
      <c r="E83" s="27" t="s">
        <v>442</v>
      </c>
      <c r="F83" s="28">
        <v>2</v>
      </c>
      <c r="G83" s="29" t="str">
        <f>IF(OR(D83="",F83=""),"chưa rõ",IF(F83&gt;D83,"FRACILE",IF(D83&gt;F83,"Vivoire","hoà")))</f>
        <v>FRACILE</v>
      </c>
      <c r="H83" s="25" t="s">
        <v>443</v>
      </c>
      <c r="I83" s="30" t="s">
        <v>444</v>
      </c>
    </row>
  </sheetData>
  <pageMargins left="0.7" right="0.7" top="0.75" bottom="0.75" header="0.3" footer="0.3"/>
  <pageSetup orientation="portrait"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FormatPr defaultRowHeight="15" outlineLevelRow="0" outlineLevelCol="0" x14ac:dyDescent="55"/>
  <cols>
    <col min="1" max="1" width="40" customWidth="1"/>
    <col min="2" max="2" width="30" customWidth="1"/>
    <col min="3" max="3" width="13" customWidth="1"/>
    <col min="4" max="4" width="28" customWidth="1"/>
    <col min="5" max="5" width="54" customWidth="1"/>
  </cols>
  <sheetData>
    <row r="1" spans="1:1" x14ac:dyDescent="0.25">
      <c r="A1" s="37" t="s">
        <v>445</v>
      </c>
    </row>
    <row r="2" spans="1:5" x14ac:dyDescent="0.25">
      <c r="A2" s="12" t="s">
        <v>446</v>
      </c>
      <c r="B2" s="12"/>
      <c r="C2" s="12"/>
      <c r="D2" s="12"/>
      <c r="E2" s="12"/>
    </row>
    <row r="3" spans="1:5" x14ac:dyDescent="0.25">
      <c r="A3" s="12"/>
      <c r="B3" s="12"/>
      <c r="C3" s="12"/>
      <c r="D3" s="12"/>
      <c r="E3" s="12"/>
    </row>
    <row r="5" ht="34" customHeight="1" spans="1:5" x14ac:dyDescent="0.25">
      <c r="A5" s="3" t="s">
        <v>447</v>
      </c>
      <c r="B5" s="3" t="s">
        <v>448</v>
      </c>
      <c r="C5" s="3" t="s">
        <v>449</v>
      </c>
      <c r="D5" s="3" t="s">
        <v>450</v>
      </c>
      <c r="E5" s="3" t="s">
        <v>451</v>
      </c>
    </row>
    <row r="6" ht="42" customHeight="1" spans="1:5" x14ac:dyDescent="0.25">
      <c r="A6" s="27" t="s">
        <v>452</v>
      </c>
      <c r="B6" s="27" t="s">
        <v>453</v>
      </c>
      <c r="C6" s="25" t="s">
        <v>454</v>
      </c>
      <c r="D6" s="27" t="s">
        <v>455</v>
      </c>
      <c r="E6" s="27" t="s">
        <v>456</v>
      </c>
    </row>
    <row r="7" ht="42" customHeight="1" spans="1:5" x14ac:dyDescent="0.25">
      <c r="A7" s="21" t="s">
        <v>457</v>
      </c>
      <c r="B7" s="21" t="s">
        <v>458</v>
      </c>
      <c r="C7" s="19" t="s">
        <v>459</v>
      </c>
      <c r="D7" s="21" t="s">
        <v>132</v>
      </c>
      <c r="E7" s="21" t="s">
        <v>460</v>
      </c>
    </row>
    <row r="8" ht="42" customHeight="1" spans="1:5" x14ac:dyDescent="0.25">
      <c r="A8" s="21" t="s">
        <v>461</v>
      </c>
      <c r="B8" s="21" t="s">
        <v>462</v>
      </c>
      <c r="C8" s="19" t="s">
        <v>459</v>
      </c>
      <c r="D8" s="21" t="s">
        <v>463</v>
      </c>
      <c r="E8" s="21" t="s">
        <v>464</v>
      </c>
    </row>
    <row r="9" ht="42" customHeight="1" spans="1:5" x14ac:dyDescent="0.25">
      <c r="A9" s="21" t="s">
        <v>256</v>
      </c>
      <c r="B9" s="21" t="s">
        <v>465</v>
      </c>
      <c r="C9" s="19" t="s">
        <v>459</v>
      </c>
      <c r="D9" s="21" t="s">
        <v>132</v>
      </c>
      <c r="E9" s="21" t="s">
        <v>466</v>
      </c>
    </row>
    <row r="10" ht="42" customHeight="1" spans="1:5" x14ac:dyDescent="0.25">
      <c r="A10" s="21" t="s">
        <v>467</v>
      </c>
      <c r="B10" s="21" t="s">
        <v>468</v>
      </c>
      <c r="C10" s="19" t="s">
        <v>459</v>
      </c>
      <c r="D10" s="21" t="s">
        <v>132</v>
      </c>
      <c r="E10" s="21" t="s">
        <v>469</v>
      </c>
    </row>
    <row r="11" ht="42" customHeight="1" spans="1:5" x14ac:dyDescent="0.25">
      <c r="A11" s="27" t="s">
        <v>470</v>
      </c>
      <c r="B11" s="27" t="s">
        <v>471</v>
      </c>
      <c r="C11" s="25" t="s">
        <v>472</v>
      </c>
      <c r="D11" s="27" t="s">
        <v>473</v>
      </c>
      <c r="E11" s="27" t="s">
        <v>474</v>
      </c>
    </row>
    <row r="12" ht="42" customHeight="1" spans="1:5" x14ac:dyDescent="0.25">
      <c r="A12" s="27" t="s">
        <v>475</v>
      </c>
      <c r="B12" s="27" t="s">
        <v>476</v>
      </c>
      <c r="C12" s="25" t="s">
        <v>454</v>
      </c>
      <c r="D12" s="27" t="s">
        <v>477</v>
      </c>
      <c r="E12" s="27" t="s">
        <v>478</v>
      </c>
    </row>
    <row r="13" ht="42" customHeight="1" spans="1:5" x14ac:dyDescent="0.25">
      <c r="A13" s="27" t="s">
        <v>479</v>
      </c>
      <c r="B13" s="27" t="s">
        <v>480</v>
      </c>
      <c r="C13" s="25" t="s">
        <v>472</v>
      </c>
      <c r="D13" s="27" t="s">
        <v>473</v>
      </c>
      <c r="E13" s="27" t="s">
        <v>481</v>
      </c>
    </row>
    <row r="14" ht="42" customHeight="1" spans="1:5" x14ac:dyDescent="0.25">
      <c r="A14" s="27" t="s">
        <v>262</v>
      </c>
      <c r="B14" s="27" t="s">
        <v>482</v>
      </c>
      <c r="C14" s="25" t="s">
        <v>454</v>
      </c>
      <c r="D14" s="27" t="s">
        <v>477</v>
      </c>
      <c r="E14" s="27" t="s">
        <v>483</v>
      </c>
    </row>
    <row r="15" ht="42" customHeight="1" spans="1:5" x14ac:dyDescent="0.25">
      <c r="A15" s="27" t="s">
        <v>484</v>
      </c>
      <c r="B15" s="27" t="s">
        <v>485</v>
      </c>
      <c r="C15" s="25" t="s">
        <v>472</v>
      </c>
      <c r="D15" s="27" t="s">
        <v>473</v>
      </c>
      <c r="E15" s="27" t="s">
        <v>486</v>
      </c>
    </row>
    <row r="16" ht="42" customHeight="1" spans="1:5" x14ac:dyDescent="0.25">
      <c r="A16" s="27" t="s">
        <v>487</v>
      </c>
      <c r="B16" s="27" t="s">
        <v>488</v>
      </c>
      <c r="C16" s="25" t="s">
        <v>472</v>
      </c>
      <c r="D16" s="27" t="s">
        <v>489</v>
      </c>
      <c r="E16" s="27" t="s">
        <v>490</v>
      </c>
    </row>
    <row r="17" ht="42" customHeight="1" spans="1:5" x14ac:dyDescent="0.25">
      <c r="A17" s="27" t="s">
        <v>491</v>
      </c>
      <c r="B17" s="27" t="s">
        <v>492</v>
      </c>
      <c r="C17" s="25" t="s">
        <v>472</v>
      </c>
      <c r="D17" s="27" t="s">
        <v>493</v>
      </c>
      <c r="E17" s="27" t="s">
        <v>494</v>
      </c>
    </row>
    <row r="18" ht="42" customHeight="1" spans="1:5" x14ac:dyDescent="0.25">
      <c r="A18" s="27" t="s">
        <v>495</v>
      </c>
      <c r="B18" s="27" t="s">
        <v>496</v>
      </c>
      <c r="C18" s="25" t="s">
        <v>454</v>
      </c>
      <c r="D18" s="27" t="s">
        <v>132</v>
      </c>
      <c r="E18" s="27" t="s">
        <v>497</v>
      </c>
    </row>
    <row r="19" ht="42" customHeight="1" spans="1:5" x14ac:dyDescent="0.25">
      <c r="A19" s="27" t="s">
        <v>498</v>
      </c>
      <c r="B19" s="27" t="s">
        <v>499</v>
      </c>
      <c r="C19" s="25" t="s">
        <v>472</v>
      </c>
      <c r="D19" s="27" t="s">
        <v>489</v>
      </c>
      <c r="E19" s="27" t="s">
        <v>500</v>
      </c>
    </row>
    <row r="20" ht="42" customHeight="1" spans="1:5" x14ac:dyDescent="0.25">
      <c r="A20" s="27" t="s">
        <v>501</v>
      </c>
      <c r="B20" s="27" t="s">
        <v>502</v>
      </c>
      <c r="C20" s="25" t="s">
        <v>472</v>
      </c>
      <c r="D20" s="27" t="s">
        <v>489</v>
      </c>
      <c r="E20" s="27" t="s">
        <v>503</v>
      </c>
    </row>
    <row r="21" ht="42" customHeight="1" spans="1:5" x14ac:dyDescent="0.25">
      <c r="A21" s="27" t="s">
        <v>504</v>
      </c>
      <c r="B21" s="27" t="s">
        <v>502</v>
      </c>
      <c r="C21" s="25" t="s">
        <v>505</v>
      </c>
      <c r="D21" s="27" t="s">
        <v>132</v>
      </c>
      <c r="E21" s="27" t="s">
        <v>506</v>
      </c>
    </row>
    <row r="22" ht="42" customHeight="1" spans="1:5" x14ac:dyDescent="0.25">
      <c r="A22" s="27" t="s">
        <v>507</v>
      </c>
      <c r="B22" s="27" t="s">
        <v>508</v>
      </c>
      <c r="C22" s="25" t="s">
        <v>454</v>
      </c>
      <c r="D22" s="27" t="s">
        <v>509</v>
      </c>
      <c r="E22" s="27" t="s">
        <v>510</v>
      </c>
    </row>
    <row r="23" ht="42" customHeight="1" spans="1:5" x14ac:dyDescent="0.25">
      <c r="A23" s="27" t="s">
        <v>511</v>
      </c>
      <c r="B23" s="27" t="s">
        <v>512</v>
      </c>
      <c r="C23" s="25" t="s">
        <v>454</v>
      </c>
      <c r="D23" s="27" t="s">
        <v>513</v>
      </c>
      <c r="E23" s="27" t="s">
        <v>514</v>
      </c>
    </row>
    <row r="24" ht="42" customHeight="1" spans="1:5" x14ac:dyDescent="0.25">
      <c r="A24" s="27" t="s">
        <v>515</v>
      </c>
      <c r="B24" s="27" t="s">
        <v>508</v>
      </c>
      <c r="C24" s="25" t="s">
        <v>472</v>
      </c>
      <c r="D24" s="27" t="s">
        <v>493</v>
      </c>
      <c r="E24" s="27" t="s">
        <v>516</v>
      </c>
    </row>
    <row r="25" ht="42" customHeight="1" spans="1:5" x14ac:dyDescent="0.25">
      <c r="A25" s="27" t="s">
        <v>517</v>
      </c>
      <c r="B25" s="27" t="s">
        <v>518</v>
      </c>
      <c r="C25" s="25" t="s">
        <v>505</v>
      </c>
      <c r="D25" s="27" t="s">
        <v>132</v>
      </c>
      <c r="E25" s="27" t="s">
        <v>519</v>
      </c>
    </row>
    <row r="28" spans="1:1" x14ac:dyDescent="0.25">
      <c r="A28" s="38" t="s">
        <v>520</v>
      </c>
    </row>
    <row r="29" ht="30" customHeight="1" spans="1:5" x14ac:dyDescent="0.25">
      <c r="A29" s="18" t="s">
        <v>521</v>
      </c>
      <c r="B29" s="18"/>
      <c r="C29" s="18"/>
      <c r="D29" s="18"/>
      <c r="E29" s="18"/>
    </row>
    <row r="30" spans="1:5" x14ac:dyDescent="0.25">
      <c r="A30" s="18"/>
      <c r="B30" s="18"/>
      <c r="C30" s="18"/>
      <c r="D30" s="18"/>
      <c r="E30" s="18"/>
    </row>
    <row r="31" spans="1:5" x14ac:dyDescent="0.25">
      <c r="A31" s="18"/>
      <c r="B31" s="18"/>
      <c r="C31" s="18"/>
      <c r="D31" s="18"/>
      <c r="E31" s="18"/>
    </row>
    <row r="32" spans="1:5" x14ac:dyDescent="0.25">
      <c r="A32" s="18"/>
      <c r="B32" s="18"/>
      <c r="C32" s="18"/>
      <c r="D32" s="18"/>
      <c r="E32" s="18"/>
    </row>
  </sheetData>
  <mergeCells count="2">
    <mergeCell ref="A2:E3"/>
    <mergeCell ref="A29:E3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FormatPr defaultRowHeight="15" outlineLevelRow="0" outlineLevelCol="0" x14ac:dyDescent="55"/>
  <cols>
    <col min="1" max="1" width="32" customWidth="1"/>
    <col min="2" max="2" width="12" customWidth="1"/>
    <col min="3" max="3" width="54" customWidth="1"/>
    <col min="4" max="4" width="14" customWidth="1"/>
  </cols>
  <sheetData>
    <row r="1" spans="1:1" x14ac:dyDescent="0.25">
      <c r="A1" s="37" t="s">
        <v>522</v>
      </c>
    </row>
    <row r="3" ht="34" customHeight="1" spans="1:4" x14ac:dyDescent="0.25">
      <c r="A3" s="3" t="s">
        <v>523</v>
      </c>
      <c r="B3" s="3" t="s">
        <v>524</v>
      </c>
      <c r="C3" s="3" t="s">
        <v>525</v>
      </c>
      <c r="D3" s="3" t="s">
        <v>526</v>
      </c>
    </row>
    <row r="4" spans="1:4" x14ac:dyDescent="0.25">
      <c r="A4" s="39" t="s">
        <v>527</v>
      </c>
      <c r="B4" s="40">
        <v>161</v>
      </c>
      <c r="C4" s="41" t="s">
        <v>528</v>
      </c>
      <c r="D4" s="42" t="s">
        <v>529</v>
      </c>
    </row>
    <row r="5" spans="1:4" x14ac:dyDescent="0.25">
      <c r="A5" s="39" t="s">
        <v>530</v>
      </c>
      <c r="B5" s="40">
        <v>943</v>
      </c>
      <c r="C5" s="41" t="s">
        <v>531</v>
      </c>
      <c r="D5" s="42" t="s">
        <v>529</v>
      </c>
    </row>
    <row r="6" spans="1:4" x14ac:dyDescent="0.25">
      <c r="A6" s="39" t="s">
        <v>532</v>
      </c>
      <c r="B6" s="40">
        <v>704</v>
      </c>
      <c r="C6" s="41" t="s">
        <v>533</v>
      </c>
      <c r="D6" s="42" t="s">
        <v>534</v>
      </c>
    </row>
    <row r="7" spans="1:4" x14ac:dyDescent="0.25">
      <c r="A7" s="39" t="s">
        <v>535</v>
      </c>
      <c r="B7" s="40">
        <v>22</v>
      </c>
      <c r="C7" s="41" t="s">
        <v>536</v>
      </c>
      <c r="D7" s="42" t="s">
        <v>534</v>
      </c>
    </row>
    <row r="8" spans="1:4" x14ac:dyDescent="0.25">
      <c r="A8" s="39" t="s">
        <v>537</v>
      </c>
      <c r="B8" s="40">
        <v>13</v>
      </c>
      <c r="C8" s="41" t="s">
        <v>538</v>
      </c>
      <c r="D8" s="42" t="s">
        <v>529</v>
      </c>
    </row>
    <row r="9" spans="1:4" x14ac:dyDescent="0.25">
      <c r="A9" s="39" t="s">
        <v>539</v>
      </c>
      <c r="B9" s="40">
        <v>109</v>
      </c>
      <c r="C9" s="41" t="s">
        <v>540</v>
      </c>
      <c r="D9" s="42" t="s">
        <v>529</v>
      </c>
    </row>
    <row r="10" spans="1:4" x14ac:dyDescent="0.25">
      <c r="A10" s="39" t="s">
        <v>541</v>
      </c>
      <c r="B10" s="40">
        <v>12</v>
      </c>
      <c r="C10" s="41" t="s">
        <v>542</v>
      </c>
      <c r="D10" s="42" t="s">
        <v>543</v>
      </c>
    </row>
    <row r="11" spans="1:4" x14ac:dyDescent="0.25">
      <c r="A11" s="39" t="s">
        <v>544</v>
      </c>
      <c r="B11" s="40">
        <v>131</v>
      </c>
      <c r="C11" s="41" t="s">
        <v>545</v>
      </c>
      <c r="D11" s="42" t="s">
        <v>543</v>
      </c>
    </row>
    <row r="12" spans="1:4" x14ac:dyDescent="0.25">
      <c r="A12" s="39" t="s">
        <v>546</v>
      </c>
      <c r="B12" s="40">
        <v>18</v>
      </c>
      <c r="C12" s="41" t="s">
        <v>547</v>
      </c>
      <c r="D12" s="42" t="s">
        <v>548</v>
      </c>
    </row>
    <row r="13" spans="1:4" x14ac:dyDescent="0.25">
      <c r="A13" s="39" t="s">
        <v>549</v>
      </c>
      <c r="B13" s="40">
        <v>57</v>
      </c>
      <c r="C13" s="41" t="s">
        <v>550</v>
      </c>
      <c r="D13" s="42" t="s">
        <v>548</v>
      </c>
    </row>
    <row r="14" spans="1:4" x14ac:dyDescent="0.25">
      <c r="A14" s="39" t="s">
        <v>551</v>
      </c>
      <c r="B14" s="40">
        <v>21</v>
      </c>
      <c r="C14" s="41" t="s">
        <v>552</v>
      </c>
      <c r="D14" s="42" t="s">
        <v>529</v>
      </c>
    </row>
    <row r="15" spans="1:4" x14ac:dyDescent="0.25">
      <c r="A15" s="39" t="s">
        <v>553</v>
      </c>
      <c r="B15" s="40">
        <v>1</v>
      </c>
      <c r="C15" s="41" t="s">
        <v>554</v>
      </c>
      <c r="D15" s="42" t="s">
        <v>534</v>
      </c>
    </row>
    <row r="16" spans="1:4" x14ac:dyDescent="0.25">
      <c r="A16" s="39" t="s">
        <v>555</v>
      </c>
      <c r="B16" s="40">
        <v>4</v>
      </c>
      <c r="C16" s="41" t="s">
        <v>556</v>
      </c>
      <c r="D16" s="42" t="s">
        <v>534</v>
      </c>
    </row>
    <row r="17" spans="1:4" x14ac:dyDescent="0.25">
      <c r="A17" s="39" t="s">
        <v>557</v>
      </c>
      <c r="B17" s="40">
        <v>8</v>
      </c>
      <c r="C17" s="41" t="s">
        <v>558</v>
      </c>
      <c r="D17" s="42" t="s">
        <v>559</v>
      </c>
    </row>
    <row r="18" spans="1:4" x14ac:dyDescent="0.25">
      <c r="A18" s="39" t="s">
        <v>560</v>
      </c>
      <c r="B18" s="40">
        <v>0</v>
      </c>
      <c r="C18" s="41" t="s">
        <v>561</v>
      </c>
      <c r="D18" s="42" t="s">
        <v>548</v>
      </c>
    </row>
    <row r="19" spans="1:4" x14ac:dyDescent="0.25">
      <c r="A19" s="39" t="s">
        <v>562</v>
      </c>
      <c r="B19" s="40">
        <v>1</v>
      </c>
      <c r="C19" s="41" t="s">
        <v>563</v>
      </c>
      <c r="D19" s="42" t="s">
        <v>564</v>
      </c>
    </row>
    <row r="20" spans="1:4" x14ac:dyDescent="0.25">
      <c r="A20" s="39" t="s">
        <v>565</v>
      </c>
      <c r="B20" s="40">
        <v>2</v>
      </c>
      <c r="C20" s="41" t="s">
        <v>566</v>
      </c>
      <c r="D20" s="42" t="s">
        <v>534</v>
      </c>
    </row>
    <row r="21" spans="1:4" x14ac:dyDescent="0.25">
      <c r="A21" s="39" t="s">
        <v>567</v>
      </c>
      <c r="B21" s="40">
        <v>2</v>
      </c>
      <c r="C21" s="41" t="s">
        <v>568</v>
      </c>
      <c r="D21" s="42" t="s">
        <v>534</v>
      </c>
    </row>
    <row r="22" spans="1:4" x14ac:dyDescent="0.25">
      <c r="A22" s="39" t="s">
        <v>569</v>
      </c>
      <c r="B22" s="40">
        <v>7</v>
      </c>
      <c r="C22" s="41" t="s">
        <v>570</v>
      </c>
      <c r="D22" s="42" t="s">
        <v>534</v>
      </c>
    </row>
    <row r="23" spans="1:4" x14ac:dyDescent="0.25">
      <c r="A23" s="39" t="s">
        <v>571</v>
      </c>
      <c r="B23" s="40">
        <v>600</v>
      </c>
      <c r="C23" s="41" t="s">
        <v>572</v>
      </c>
      <c r="D23" s="42" t="s">
        <v>529</v>
      </c>
    </row>
    <row r="25" spans="1:3" x14ac:dyDescent="0.25">
      <c r="A25" s="13" t="s">
        <v>573</v>
      </c>
      <c r="B25" s="43">
        <f>B6/B5</f>
        <v>0.7990919409761634</v>
      </c>
      <c r="C25" s="44" t="s">
        <v>574</v>
      </c>
    </row>
    <row r="26" spans="1:3" x14ac:dyDescent="0.25">
      <c r="A26" s="13" t="s">
        <v>575</v>
      </c>
      <c r="B26" s="45">
        <f>B5-B6</f>
        <v>177</v>
      </c>
      <c r="C26" s="44" t="s">
        <v>576</v>
      </c>
    </row>
    <row r="29" spans="1:1" x14ac:dyDescent="0.25">
      <c r="A29" s="38" t="s">
        <v>577</v>
      </c>
    </row>
    <row r="30" ht="34" customHeight="1" spans="1:4" x14ac:dyDescent="0.25">
      <c r="A30" s="3" t="s">
        <v>523</v>
      </c>
      <c r="B30" s="3" t="s">
        <v>524</v>
      </c>
      <c r="C30" s="3" t="s">
        <v>578</v>
      </c>
      <c r="D30" s="3" t="s">
        <v>579</v>
      </c>
    </row>
    <row r="31" spans="1:4" x14ac:dyDescent="0.25">
      <c r="A31" s="19" t="s">
        <v>580</v>
      </c>
      <c r="B31" s="21" t="s">
        <v>581</v>
      </c>
      <c r="C31" s="21" t="s">
        <v>582</v>
      </c>
      <c r="D31" s="21" t="s">
        <v>583</v>
      </c>
    </row>
    <row r="32" spans="1:4" x14ac:dyDescent="0.25">
      <c r="A32" s="19" t="s">
        <v>584</v>
      </c>
      <c r="B32" s="21" t="s">
        <v>581</v>
      </c>
      <c r="C32" s="21" t="s">
        <v>582</v>
      </c>
      <c r="D32" s="21" t="s">
        <v>583</v>
      </c>
    </row>
    <row r="33" spans="1:4" x14ac:dyDescent="0.25">
      <c r="A33" s="19" t="s">
        <v>585</v>
      </c>
      <c r="B33" s="21" t="s">
        <v>586</v>
      </c>
      <c r="C33" s="21" t="s">
        <v>582</v>
      </c>
      <c r="D33" s="21" t="s">
        <v>583</v>
      </c>
    </row>
    <row r="34" spans="1:4" x14ac:dyDescent="0.25">
      <c r="A34" s="46" t="s">
        <v>587</v>
      </c>
      <c r="B34" s="47" t="s">
        <v>588</v>
      </c>
      <c r="C34" s="47" t="s">
        <v>589</v>
      </c>
      <c r="D34" s="47" t="s">
        <v>590</v>
      </c>
    </row>
    <row r="35" spans="1:4" x14ac:dyDescent="0.25">
      <c r="A35" s="46" t="s">
        <v>591</v>
      </c>
      <c r="B35" s="47" t="s">
        <v>592</v>
      </c>
      <c r="C35" s="47" t="s">
        <v>593</v>
      </c>
      <c r="D35" s="47" t="s">
        <v>590</v>
      </c>
    </row>
    <row r="36" spans="1:4" x14ac:dyDescent="0.25">
      <c r="A36" s="19" t="s">
        <v>594</v>
      </c>
      <c r="B36" s="21" t="s">
        <v>595</v>
      </c>
      <c r="C36" s="21" t="s">
        <v>596</v>
      </c>
      <c r="D36" s="21" t="s">
        <v>597</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1" width="5" customWidth="1"/>
    <col min="2" max="2" width="42" customWidth="1"/>
    <col min="3" max="3" width="64" customWidth="1"/>
    <col min="4" max="4" width="40" customWidth="1"/>
    <col min="5" max="5" width="16" customWidth="1"/>
  </cols>
  <sheetData>
    <row r="1" spans="1:1" x14ac:dyDescent="0.25">
      <c r="A1" s="37" t="s">
        <v>598</v>
      </c>
    </row>
    <row r="3" ht="34" customHeight="1" spans="1:5" x14ac:dyDescent="0.25">
      <c r="A3" s="3" t="s">
        <v>599</v>
      </c>
      <c r="B3" s="3" t="s">
        <v>600</v>
      </c>
      <c r="C3" s="3" t="s">
        <v>601</v>
      </c>
      <c r="D3" s="3" t="s">
        <v>602</v>
      </c>
      <c r="E3" s="3" t="s">
        <v>603</v>
      </c>
    </row>
    <row r="4" ht="62" customHeight="1" spans="1:5" x14ac:dyDescent="0.25">
      <c r="A4" s="22">
        <v>1</v>
      </c>
      <c r="B4" s="19" t="s">
        <v>604</v>
      </c>
      <c r="C4" s="21" t="s">
        <v>605</v>
      </c>
      <c r="D4" s="21" t="s">
        <v>606</v>
      </c>
      <c r="E4" s="21" t="s">
        <v>607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quan</vt:lpstr>
      <vt:lpstr>So sánh chi tiết</vt:lpstr>
      <vt:lpstr>Tài khoản giáo viên</vt:lpstr>
      <vt:lpstr>Số liệu đo được</vt:lpstr>
      <vt:lpstr>Việc cần làm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FRACILE</dc:creator>
  <dc:title/>
  <dc:subject/>
  <dc:description/>
  <cp:keywords/>
  <cp:category/>
  <cp:lastModifiedBy>Unknown</cp:lastModifiedBy>
  <dcterms:created xsi:type="dcterms:W3CDTF">2026-09-08T17:00:00Z</dcterms:created>
  <dcterms:modified xsi:type="dcterms:W3CDTF">2026-10-23T10:42:37Z</dcterms:modified>
</cp:coreProperties>
</file>