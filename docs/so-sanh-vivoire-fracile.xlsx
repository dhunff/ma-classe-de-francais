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<sst xmlns="http://schemas.openxmlformats.org/spreadsheetml/2006/main" count="507" uniqueCount="341">
  <si>
    <t>VIVOIRE  vs  FRACILE — bảng so sánh chi tiết</t>
  </si>
  <si>
    <t>Vivoire: đọc từ trang chủ vivoire.app ngày 09/09/2026. Không có tài khoản nên không kiểm được bên trong sản phẩm.</t>
  </si>
  <si>
    <t>FRACILE: đo từ mã nguồn và database production ngày 09/09/2026.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</si>
  <si>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</si>
  <si>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</si>
  <si>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</si>
  <si>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</si>
  <si>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</si>
  <si>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</si>
  <si>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</si>
  <si>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</si>
  <si>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</si>
  <si>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</si>
  <si>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</si>
  <si>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</si>
  <si>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</si>
  <si>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</si>
  <si>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</si>
  <si>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</si>
  <si>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</si>
  <si>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</si>
  <si>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</si>
  <si>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</si>
  <si>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</si>
  <si>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</si>
  <si>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</si>
  <si>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</si>
  <si>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</si>
  <si>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</si>
  <si>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</si>
  <si>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</si>
  <si>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</si>
  <si>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</si>
  <si>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</si>
  <si>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</si>
  <si>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</si>
  <si>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</si>
  <si>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</si>
  <si>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</si>
  <si>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</si>
  <si>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</si>
  <si>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</si>
  <si>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</si>
  <si>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</si>
  <si>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</si>
  <si>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</si>
  <si>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</si>
  <si>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</si>
  <si>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</si>
  <si>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CHƯA CÓ. Hàm khung trả về connected:false và KHÔNG nơi nào gọi tới</t>
  </si>
  <si>
    <t>CHƯA DỰNG</t>
  </si>
  <si>
    <t>gradingEngine.js:215 evaluateEssayWithAI(). grep openai|anthropic|gemini|gpt- = 0 kết quả thật</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</si>
  <si>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</si>
  <si>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</si>
  <si>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</si>
  <si>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</si>
  <si>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chấm phát âm</t>
  </si>
  <si>
    <t>Phát âm 82% · Trôi chảy 76% · Từ vựng B1</t>
  </si>
  <si>
    <t>CHƯA CÓ</t>
  </si>
  <si>
    <t>Không có Edge Function nào gọi mô hình giọng nói</t>
  </si>
  <si>
    <t>Giáo viên chấm tay</t>
  </si>
  <si>
    <t>Có — nằm trong màn lớp học của giáo viên</t>
  </si>
  <si>
    <t>ĐÃ QUYẾT BỎ. Nhưng màn /professeur/copies VẪN CÒN trong mã</t>
  </si>
  <si>
    <t>CẦN GỠ</t>
  </si>
  <si>
    <t>App.jsx:264 → PEGrading.jsx; App.jsx:265 → BaiNoiGiaoVien.jsx</t>
  </si>
  <si>
    <t>Lời giải thích cho câu làm sai</t>
  </si>
  <si>
    <t>Không thấy nêu trên trang chủ</t>
  </si>
  <si>
    <t>207/373 câu có lời giải; có màn xếp ưu tiên theo SỐ HỌC SINH từng sai</t>
  </si>
  <si>
    <t>migration 069/070; /professeur/loi-giai</t>
  </si>
  <si>
    <t>Neo đáp án vào ngữ liệu (chỉ ra CHỖ chứa câu trả lời)</t>
  </si>
  <si>
    <t>Dựng xong cả hai đầu (đặt neo + hiển thị), nhưng 0/373 câu có dữ liệu</t>
  </si>
  <si>
    <t>DỰNG XONG — CHƯA CÓ DỮ LIỆU</t>
  </si>
  <si>
    <t>migration 075/076; /professeur/neo; đo 09/09: evidence IS NOT NULL = 0</t>
  </si>
  <si>
    <t>Đề thi thử đúng cấu trúc DELF</t>
  </si>
  <si>
    <t>DELF/DALF A1–C2</t>
  </si>
  <si>
    <t>2 đề, đủ 4 phần CO/CE/PE/PO, chỉ B1–B2</t>
  </si>
  <si>
    <t>Bảng exams + exam_sections; migration 026/044/059</t>
  </si>
  <si>
    <t>Nghe hiểu giới hạn 2 lượt phát</t>
  </si>
  <si>
    <t>Không thấy nêu</t>
  </si>
  <si>
    <t>Có, và ĐẾM Ở MÁY CHỦ — không phải ở trình duyệt nên không lách được</t>
  </si>
  <si>
    <t>RPC _exam_play; migration 024 đã thu quyền gọi trực tiếp của học sinh</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</si>
  <si>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</si>
  <si>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</si>
  <si>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</si>
  <si>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</si>
  <si>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</si>
  <si>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</si>
  <si>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</si>
  <si>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</si>
  <si>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</si>
  <si>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</si>
  <si>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</si>
  <si>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</si>
  <si>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</si>
  <si>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</si>
  <si>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B1 – B2 (2 cấp)</t>
  </si>
  <si>
    <t>Có chủ đích — nhắm hẹp</t>
  </si>
  <si>
    <t>docs/roadmap-delf.md</t>
  </si>
  <si>
    <t>Số bài luyện</t>
  </si>
  <si>
    <t>200 chép chính tả + 200 nghe điền từ (họ công bố)</t>
  </si>
  <si>
    <t>34 bài (ĐẾM THẬT trên production)</t>
  </si>
  <si>
    <t>select count(*) from exercises = 34, đo 09/09/2026</t>
  </si>
  <si>
    <t>Số câu hỏi</t>
  </si>
  <si>
    <t>Không công bố</t>
  </si>
  <si>
    <t>373 câu, 7 dạng (qcm, fill, conj, vf, tableau, order, tự luận)</t>
  </si>
  <si>
    <t>select count(*) from questions = 373</t>
  </si>
  <si>
    <t>Từ điển Pháp–Việt</t>
  </si>
  <si>
    <t>56.000+ từ · IPA · nghĩa Việt · cấp CEFR · chia động từ · tra ngay trong bài</t>
  </si>
  <si>
    <t>KHÔNG CÓ</t>
  </si>
  <si>
    <t>Không có kế hoạch</t>
  </si>
  <si>
    <t>Ô chênh lệch lớn nhất trong cả bảng</t>
  </si>
  <si>
    <t>Podcast / học theo video</t>
  </si>
  <si>
    <t/>
  </si>
  <si>
    <t>Audio bản xứ</t>
  </si>
  <si>
    <t>Có (nêu rõ « audio bản xứ »)</t>
  </si>
  <si>
    <t>Có file nghe cho phần CO, không nêu nguồn giọng đọc</t>
  </si>
  <si>
    <t>Bucket đề bài công khai</t>
  </si>
  <si>
    <t>Nhập đề hàng loạt</t>
  </si>
  <si>
    <t>Dán một khối JSON là xong cả bài 25 câu. KHÔNG đọc được .docx</t>
  </si>
  <si>
    <t>Builder.jsx — trình nhập JSON</t>
  </si>
  <si>
    <t>Thẻ ghi nhớ — cơ chế</t>
  </si>
  <si>
    <t>Flashcard + 3 game mỗi ngày, « ôn từ đúng lúc sắp quên »</t>
  </si>
  <si>
    <t>SM-2 đầy đủ, 4 nút SRS; thẻ SINH TỰ ĐỘNG TỪ CÂU LÀM SAI, không nhập tay</t>
  </si>
  <si>
    <t>shared/sm2.js thuần, 90 ca kiểm; migration 063–066, 073/074</t>
  </si>
  <si>
    <t>Thẻ ghi nhớ — quy mô</t>
  </si>
  <si>
    <t>Không công bố số thẻ</t>
  </si>
  <si>
    <t>37 thẻ đã sinh</t>
  </si>
  <si>
    <t>select count(*) from cards = 37</t>
  </si>
  <si>
    <t>Mặt sau thẻ là lời giải thích, không phải đáp án trần</t>
  </si>
  <si>
    <t>Có — và viết lời giải mới sẽ KÉO THEO thẻ đã sinh</t>
  </si>
  <si>
    <t>RPC luu_loi_giai trả về số thẻ vừa làm mới</t>
  </si>
  <si>
    <t>Chuỗi ngày học</t>
  </si>
  <si>
    <t>Có, kèm nhiệm vụ và kim cương</t>
  </si>
  <si>
    <t>Có — tính ở MÁY CHỦ, theo ngày của NGƯỜI DÙNG chứ không theo giờ UTC</t>
  </si>
  <si>
    <t>migration 061/062; RPC chuoi_ngay_hoc (gaps-and-islands)</t>
  </si>
  <si>
    <t>Trò chơi / thi đấu</t>
  </si>
  <si>
    <t>Đấu dịch thuật PvP trực tiếp</t>
  </si>
  <si>
    <t>Giờ học đo được</t>
  </si>
  <si>
    <t>CHƯA đo được — hiện dấu gạch kèm lý do, KHÔNG điền số ước lượng</t>
  </si>
  <si>
    <t>Cố ý để trống</t>
  </si>
  <si>
    <t>daily_activity.minutes để sẵn; quy tắc 1 của dự án</t>
  </si>
  <si>
    <t>Kiểm soát ai được học bài nào</t>
  </si>
  <si>
    <t>Hai tầng: trọn gói (profiles.has_premium_access) + từng bài (exercise_access)</t>
  </si>
  <si>
    <t>Đang chạy — GIỮ</t>
  </si>
  <si>
    <t>Đây chính là « kiểm soát số lượng học sinh ». AccessPanel.jsx</t>
  </si>
  <si>
    <t>Học sinh KHÔNG tự mở khoá được cho mình</t>
  </si>
  <si>
    <t>exercise_access chặn mọi lệnh ghi từ trình duyệt; phải qua Edge Function</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</si>
  <si>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</si>
  <si>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</si>
  <si>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</si>
  <si>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</si>
  <si>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</si>
  <si>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</si>
  <si>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</si>
  <si>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Giao bài theo kỹ năng và cấp độ</t>
  </si>
  <si>
    <t>store='assignment'</t>
  </si>
  <si>
    <t>Chấm bài cho học sinh</t>
  </si>
  <si>
    <t>Có — chấm tự động và AI, giáo viên chốt</t>
  </si>
  <si>
    <t>ĐÃ QUYẾT BỎ (học sinh tự chấm / AI chấm)</t>
  </si>
  <si>
    <t>CẦN GỠ /professeur/copies</t>
  </si>
  <si>
    <t>Quyết định của chủ dự án 09/09/2026. Mã vẫn còn — xem sheet « Việc cần làm »</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</si>
  <si>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</si>
  <si>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</si>
  <si>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</si>
  <si>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</si>
  <si>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</si>
  <si>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</si>
  <si>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Bảng và màn xem CÒN NGUYÊN, nhưng FORM ĐÃ GỠ khỏi trang giới thiệu</t>
  </si>
  <si>
    <t>Tắt có chủ đích</t>
  </si>
  <si>
    <t>migration 077–080; /professeur/lien-he. Gỡ vì chưa có trang Chính sách bảo mật</t>
  </si>
  <si>
    <t>Số tài khoản đang có</t>
  </si>
  <si>
    <t>7 người dùng (gồm cả tài khoản thử)</t>
  </si>
  <si>
    <t>select count(*) from profiles = 7</t>
  </si>
  <si>
    <t>Web</t>
  </si>
  <si>
    <t>fracile.vercel.app / www.fracile.vn</t>
  </si>
  <si>
    <t>iOS</t>
  </si>
  <si>
    <t>Có (App Store)</t>
  </si>
  <si>
    <t>Android</t>
  </si>
  <si>
    <t>Có (Google Play)</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</si>
  <si>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</si>
  <si>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</si>
  <si>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</si>
  <si>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</si>
  <si>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</si>
  <si>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t>
  </si>
  <si>
    <t>Thanh toán</t>
  </si>
  <si>
    <t>Webhook SePay đã ghim công thức ký (ts.raw kiểu Stripe)</t>
  </si>
  <si>
    <t>check:hmac 45 ca; giao dịch #76732769 xác nhận</t>
  </si>
  <si>
    <t>Câu hỏi thường gặp (FAQ)</t>
  </si>
  <si>
    <t>CHẶN VIỆC THU TIỀN</t>
  </si>
  <si>
    <t>Chân trang LandingPage.jsx đã ghi rõ điều này</t>
  </si>
  <si>
    <t>Điều khoản sử dụng</t>
  </si>
  <si>
    <t>Chính sách bảo mật</t>
  </si>
  <si>
    <t>Đây là lý do form tư vấn bị gỡ khỏi trang giới thiệu</t>
  </si>
  <si>
    <t>Đội ngũ công khai</t>
  </si>
  <si>
    <t>4 người, có tên và thành tích (HSG quốc gia, thạc sĩ UMass, kỹ sư AI)</t>
  </si>
  <si>
    <t>1 người — Đỗ Quốc Hùng, ghi « Đội ngũ phát triển »</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</si>
  <si>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</si>
  <si>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</si>
  <si>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</si>
  <si>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</si>
  <si>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</si>
  <si>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</si>
  <si>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</si>
  <si>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</si>
  <si>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</si>
  <si>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chấm là hướng đi, chưa dựng.</t>
  </si>
  <si>
    <t>Quyền / màn hình</t>
  </si>
  <si>
    <t>Đường dẫn</t>
  </si>
  <si>
    <t>Quyết định</t>
  </si>
  <si>
    <t>Tình trạng mã nguồn HÔM NAY</t>
  </si>
  <si>
    <t>Ghi chú</t>
  </si>
  <si>
    <t>Bật/tắt quyền học từng bài cho một học sinh</t>
  </si>
  <si>
    <t>AccessPanel (trong dashboard)</t>
  </si>
  <si>
    <t>GIỮ</t>
  </si>
  <si>
    <t>Đây chính là « kiểm soát số lượng học sinh ». Ghi qua Edge Function grant-access.</t>
  </si>
  <si>
    <t>Bật/tắt trọn gói cho một học sinh</t>
  </si>
  <si>
    <t>AccessPanel</t>
  </si>
  <si>
    <t>profiles.has_premium_access — mở cả những bài chưa tồn tại lúc bật.</t>
  </si>
  <si>
    <t>Soạn / sửa / xoá bài trong thư viện</t>
  </si>
  <si>
    <t>/professeur/dashboard → Builder</t>
  </si>
  <si>
    <t>Đường GHI vẫn CHƯA được thử tay đầy đủ — xem mục còn treo trong CLAUDE.md.</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</si>
  <si>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</si>
  <si>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</si>
  <si>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</si>
  <si>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</si>
  <si>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</si>
  <si>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</si>
  <si>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</si>
  <si>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Thay thế trực tiếp cho chấm tay: dạy một lần cho tất cả, thay vì nhận xét từng bài.</t>
  </si>
  <si>
    <t>Đặt neo đáp án vào ngữ liệu</t>
  </si>
  <si>
    <t>/professeur/neo</t>
  </si>
  <si>
    <t>Dựng xong, 0 dữ liệu</t>
  </si>
  <si>
    <t>Chưa câu nào có neo nên chưa ai từng thấy nó chạy, kể cả chủ dự án.</t>
  </si>
  <si>
    <t>Sổ tay / mẹo</t>
  </si>
  <si>
    <t>/professeur/carnet</t>
  </si>
  <si>
    <t>Xem đăng ký tư vấn</t>
  </si>
  <si>
    <t>/professeur/lien-he</t>
  </si>
  <si>
    <t>Đang chạy, nhưng không có nguồn vào</t>
  </si>
  <si>
    <t>Form đã gỡ khỏi trang giới thiệu, nên chưa có đường nào để ai gửi thông tin vào.</t>
  </si>
  <si>
    <t>Nghe bản ghi âm bài nói của học sinh</t>
  </si>
  <si>
    <t>/professeur/oral</t>
  </si>
  <si>
    <t>CẦN QUYẾT</t>
  </si>
  <si>
    <t>Màn này KHÔNG cho điểm, chỉ nghe và nhắn nhận xét. Bỏ hẳn vai chấm thì nên gỡ; giữ vai kèm cặp thì giữ. Đây là ranh giới cần chủ dự án quyết.</t>
  </si>
  <si>
    <t>Chấm bài viết của học sinh</t>
  </si>
  <si>
    <t>/professeur/copies</t>
  </si>
  <si>
    <t>BỎ</t>
  </si>
  <si>
    <t>VẪN CÒN TRONG MÃ</t>
  </si>
  <si>
    <t>Mâu thuẫn với quyết định 09/09. Route ở App.jsx:264 → PEGrading.jsx.</t>
  </si>
  <si>
    <t>MỘT CÂU PHẢI NÓI THẲNG</t>
  </si>
  <si>
    <t>Bỏ giáo viên chấm bài KHÔNG tự động thành « AI chấm ». Hôm nay sản phẩm không có AI nào: evaluateEssayWithAI() trả về connected:false và không nơi nào trong mã gọi tới nó. Nếu gỡ /professeur/copies TRƯỚC khi dựng AI, thì trong khoảng giữa đó bài viết của học sinh chỉ còn MỘT đường duy nhất là tự chấm theo grille. Đó có thể là lựa chọn đúng — nhưng phải là lựa chọn có ý thức, không phải hệ quả tình cờ của thứ tự làm việc.</t>
  </si>
  <si>
    <t>SỐ LIỆU ĐO THẬT — không con số nào ở đây là ước lượng</t>
  </si>
  <si>
    <t>Chỉ số</t>
  </si>
  <si>
    <t>Giá trị</t>
  </si>
  <si>
    <t>Cách đo</t>
  </si>
  <si>
    <t>Ngày đo</t>
  </si>
  <si>
    <t>Bài tập</t>
  </si>
  <si>
    <t>select count(*) from exercises</t>
  </si>
  <si>
    <t>09/09/2026</t>
  </si>
  <si>
    <t>Câu hỏi</t>
  </si>
  <si>
    <t>select count(*) from questions</t>
  </si>
  <si>
    <t>Câu có lời giải thích</t>
  </si>
  <si>
    <t>questions where explanation is not null</t>
  </si>
  <si>
    <t>Câu có neo ngữ liệu</t>
  </si>
  <si>
    <t>questions where evidence is not null</t>
  </si>
  <si>
    <t>Đề thi thử</t>
  </si>
  <si>
    <t>select count(*) from exams</t>
  </si>
  <si>
    <t>Thẻ ghi nhớ đã sinh</t>
  </si>
  <si>
    <t>select count(*) from cards</t>
  </si>
  <si>
    <t>Lượt trả lời đã ghi</t>
  </si>
  <si>
    <t>select count(*) from answers</t>
  </si>
  <si>
    <t>Tài khoản</t>
  </si>
  <si>
    <t>select count(*) from profiles</t>
  </si>
  <si>
    <t>Bài tự luận CHƯA ai chấm</t>
  </si>
  <si>
    <t>đếm câu tự luận chưa có điểm</t>
  </si>
  <si>
    <t>Hàm gọi mô hình AI trong mã</t>
  </si>
  <si>
    <t>grep openai|anthropic|gemini|gpt- trên src/ và supabase/</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</si>
  <si>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</si>
  <si>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</si>
  <si>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</si>
  <si>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</si>
  <si>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</si>
  <si>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</si>
  <si>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</si>
  <si>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</si>
  <si>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</si>
  <si>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</si>
  <si>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</si>
  <si>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</si>
  <si>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</si>
  <si>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</si>
  <si>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</si>
  <si>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</si>
  <si>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</si>
  <si>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</si>
  <si>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</si>
  <si>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</si>
  <si>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</si>
  <si>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</si>
  <si>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</si>
  <si>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</si>
  <si>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</si>
  <si>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</si>
  <si>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</si>
  <si>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</si>
  <si>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</si>
  <si>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</si>
  <si>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</si>
  <si>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</si>
  <si>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</si>
  <si>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Dựng 3 trang: FAQ · Điều khoản sử dụng · Chính sách bảo mật</t>
  </si>
  <si>
    <t>Ô duy nhất trong cả bảng có thể xoá sạch trong một buổi, và nó đang CHẶN việc thu tiền. Vivoire có đủ ba. Cũng là điều kiện để bật lại form tư vấn.</t>
  </si>
  <si>
    <t>3 trang tĩnh + 3 route</t>
  </si>
  <si>
    <t>1 buổi</t>
  </si>
  <si>
    <t>Quyết dứt điểm số phận /professeur/copies và /professeur/oral</t>
  </si>
  <si>
    <t>Quyết định « bỏ giáo viên chấm » hiện chỉ nằm ở câu chữ; mã vẫn còn màn chấm. Để nguyên thì bảng này và sản phẩm nói hai điều khác nhau.</t>
  </si>
  <si>
    <t>App.jsx:264-265; PEGrading.jsx; BaiNoiGiaoVien.jsx</t>
  </si>
  <si>
    <t>Đặt neo cho 5–10 câu đọc hiểu</t>
  </si>
  <si>
    <t>Tính năng mạnh nhất mà Vivoire không có, và hiện có 0 dòng dữ liệu — chưa ai từng thấy nó chạy. Không phải viết thêm dòng mã nào.</t>
  </si>
  <si>
    <t>/professeur/neo — chỉ nhập liệu</t>
  </si>
  <si>
    <t>1–2 giờ</t>
  </si>
  <si>
    <t>Nối AI vào GRILLE, không nối vào một con số</t>
  </si>
  <si>
    <t>Đây là chỗ AI thật sự thêm giá trị mà không phá thứ đang có. Vivoire trả về « 82% phát âm ». Nếu FRACILE trả về 6 tiêu chí DELF kèm trích dẫn từ chính bài viết thì đó là sản phẩm khác hẳn, không phải bản sao rẻ hơn.</t>
  </si>
  <si>
    <t>Edge Function mới + gradingEngine.js:215 (khung đã có, chú thích đã ghi sẵn 5 bước)</t>
  </si>
  <si>
    <t>2–3 ngày</t>
  </si>
  <si>
    <t>Để điểm AI ở dạng ĐỀ XUẤT, học sinh vẫn tự đối chiếu grille</t>
  </si>
  <si>
    <t>Chú thích trong gradingEngine.js đã viết sẵn: « điểm số của một con người phải do một con người ký ». Bỏ giáo viên rồi thì người ký là chính học sinh — nên AI gợi ý, học sinh chốt, và cả hai con số cùng hiện.</t>
  </si>
  <si>
    <t>PESelfEvaluation.jsx</t>
  </si>
  <si>
    <t>1 ngày</t>
  </si>
  <si>
    <t>Chấm 10 bài tự luận đang treo, hoặc nói cho học sinh biết là sẽ không chấm</t>
  </si>
  <si>
    <t>10 bài đã nộp, chưa bài nào được chấm. Nếu có người đang chờ thì họ chờ ở đó, và im lặng là câu trả lời tệ nhất trong ba khả năng.</t>
  </si>
  <si>
    <t>submissions / openMarks</t>
  </si>
  <si>
    <t>tuỳ quyết định</t>
  </si>
  <si>
    <t>Bổ sung ảnh màn hình thật cho trang giới thiệu</t>
  </si>
  <si>
    <t>Hero đang là khung xám nói « chỗ dành cho ảnh ». Vivoire dùng ảnh minh hoạ ở đúng chỗ mà FRACILE có thể dùng ảnh thật.</t>
  </si>
  <si>
    <t>LandingPage.jsx</t>
  </si>
  <si>
    <t>30 phút</t>
  </si>
  <si>
    <t>Cân nhắc KHÔNG đuổi theo: từ điển, podcast, PvP, app mobile</t>
  </si>
  <si>
    <t>Bốn ô Vivoire hơn tuyệt đối. Đuổi theo cả bốn với một người là cách chắc chắn để không ô nào xong. Chúng nằm đây để được quyết định BỎ một cách có ý thức, không phải để bị quên.</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</si>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</sst>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3"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6">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9"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9"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9" fillId="5" borderId="1" xfId="0" applyFont="1" applyFill="1" applyBorder="1" applyAlignment="1">
      <alignment vertical="top" wrapText="1"/>
    </xf>
    <xf numFmtId="0" fontId="10" fillId="0" borderId="0" xfId="0" applyFont="1"/>
    <xf numFmtId="0" fontId="8" fillId="6" borderId="1" xfId="0" applyFont="1" applyFill="1" applyBorder="1" applyAlignment="1">
      <alignment vertical="top" wrapText="1"/>
    </xf>
    <xf numFmtId="0" fontId="7" fillId="6" borderId="1" xfId="0" applyFont="1" applyFill="1" applyBorder="1" applyAlignment="1">
      <alignment vertical="top" wrapText="1"/>
    </xf>
    <xf numFmtId="0" fontId="11" fillId="0" borderId="0" xfId="0" applyFont="1"/>
    <xf numFmtId="0" fontId="8" fillId="0" borderId="0" xfId="0" applyFont="1" applyAlignment="1">
      <alignment vertical="top" wrapText="1"/>
    </xf>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2" fillId="0" borderId="0" xfId="0" applyFont="1"/>
    <xf numFmtId="0" fontId="0" fillId="0" borderId="0" xfId="0"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4"/>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tiết'!$A$2:$A$50,$A7)</f>
        <v>8</v>
      </c>
      <c r="C7" s="5">
        <f>SUMPRODUCT(('So sánh chi tiết'!$A$2:$A$50=$A7)*('So sánh chi tiết'!$D$2:$D$50&lt;&gt;"")*('So sánh chi tiết'!$F$2:$F$50&lt;&gt;""))</f>
        <v>6</v>
      </c>
      <c r="D7" s="6">
        <f>IFERROR(SUMPRODUCT(('So sánh chi tiết'!$A$2:$A$50=$A7)*('So sánh chi tiết'!$D$2:$D$50&lt;&gt;"")*('So sánh chi tiết'!$F$2:$F$50&lt;&gt;"")*'So sánh chi tiết'!$D$2:$D$50)/SUMPRODUCT(('So sánh chi tiết'!$A$2:$A$50=$A7)*('So sánh chi tiết'!$D$2:$D$50&lt;&gt;"")*('So sánh chi tiết'!$F$2:$F$50&lt;&gt;"")),"")</f>
        <v>1.6666666666666667</v>
      </c>
      <c r="E7" s="6">
        <f>IFERROR(SUMPRODUCT(('So sánh chi tiết'!$A$2:$A$50=$A7)*('So sánh chi tiết'!$D$2:$D$50&lt;&gt;"")*('So sánh chi tiết'!$F$2:$F$50&lt;&gt;"")*'So sánh chi tiết'!$F$2:$F$50)/SUMPRODUCT(('So sánh chi tiết'!$A$2:$A$50=$A7)*('So sánh chi tiết'!$D$2:$D$50&lt;&gt;"")*('So sánh chi tiết'!$F$2:$F$50&lt;&gt;"")),"")</f>
        <v>0.6666666666666666</v>
      </c>
      <c r="F7" s="6">
        <f>IFERROR(E7-D7,"")</f>
        <v>-1</v>
      </c>
      <c r="G7" s="7" t="str">
        <f>IF(OR(C7&lt;3,F7=""),"quá ít mục",IF(F7&gt;0.25,"FRACILE",IF(F7&lt;-0.25,"Vivoire","ngang nhau")))</f>
        <v>Vivoire</v>
      </c>
    </row>
    <row r="8" ht="20" customHeight="1" spans="1:7" x14ac:dyDescent="0.25">
      <c r="A8" s="4" t="s">
        <v>12</v>
      </c>
      <c r="B8" s="5">
        <f>COUNTIF('So sánh chi tiết'!$A$2:$A$50,$A8)</f>
        <v>6</v>
      </c>
      <c r="C8" s="5">
        <f>SUMPRODUCT(('So sánh chi tiết'!$A$2:$A$50=$A8)*('So sánh chi tiết'!$D$2:$D$50&lt;&gt;"")*('So sánh chi tiết'!$F$2:$F$50&lt;&gt;""))</f>
        <v>1</v>
      </c>
      <c r="D8" s="6">
        <f>IFERROR(SUMPRODUCT(('So sánh chi tiết'!$A$2:$A$50=$A8)*('So sánh chi tiết'!$D$2:$D$50&lt;&gt;"")*('So sánh chi tiết'!$F$2:$F$50&lt;&gt;"")*'So sánh chi tiết'!$D$2:$D$50)/SUMPRODUCT(('So sánh chi tiết'!$A$2:$A$50=$A8)*('So sánh chi tiết'!$D$2:$D$50&lt;&gt;"")*('So sánh chi tiết'!$F$2:$F$50&lt;&gt;"")),"")</f>
        <v>2</v>
      </c>
      <c r="E8" s="6">
        <f>IFERROR(SUMPRODUCT(('So sánh chi tiết'!$A$2:$A$50=$A8)*('So sánh chi tiết'!$D$2:$D$50&lt;&gt;"")*('So sánh chi tiết'!$F$2:$F$50&lt;&gt;"")*'So sánh chi tiết'!$F$2:$F$50)/SUMPRODUCT(('So sánh chi tiết'!$A$2:$A$50=$A8)*('So sánh chi tiết'!$D$2:$D$50&lt;&gt;"")*('So sánh chi tiết'!$F$2:$F$50&lt;&gt;"")),"")</f>
        <v>1</v>
      </c>
      <c r="F8" s="6">
        <f>IFERROR(E8-D8,"")</f>
        <v>-1</v>
      </c>
      <c r="G8" s="7" t="str">
        <f>IF(OR(C8&lt;3,F8=""),"quá ít mục",IF(F8&gt;0.25,"FRACILE",IF(F8&lt;-0.25,"Vivoire","ngang nhau")))</f>
        <v>quá ít mục</v>
      </c>
    </row>
    <row r="9" ht="20" customHeight="1" spans="1:7" x14ac:dyDescent="0.25">
      <c r="A9" s="4" t="s">
        <v>13</v>
      </c>
      <c r="B9" s="5">
        <f>COUNTIF('So sánh chi tiết'!$A$2:$A$50,$A9)</f>
        <v>7</v>
      </c>
      <c r="C9" s="5">
        <f>SUMPRODUCT(('So sánh chi tiết'!$A$2:$A$50=$A9)*('So sánh chi tiết'!$D$2:$D$50&lt;&gt;"")*('So sánh chi tiết'!$F$2:$F$50&lt;&gt;""))</f>
        <v>5</v>
      </c>
      <c r="D9" s="6">
        <f>IFERROR(SUMPRODUCT(('So sánh chi tiết'!$A$2:$A$50=$A9)*('So sánh chi tiết'!$D$2:$D$50&lt;&gt;"")*('So sánh chi tiết'!$F$2:$F$50&lt;&gt;"")*'So sánh chi tiết'!$D$2:$D$50)/SUMPRODUCT(('So sánh chi tiết'!$A$2:$A$50=$A9)*('So sánh chi tiết'!$D$2:$D$50&lt;&gt;"")*('So sánh chi tiết'!$F$2:$F$50&lt;&gt;"")),"")</f>
        <v>2</v>
      </c>
      <c r="E9" s="6">
        <f>IFERROR(SUMPRODUCT(('So sánh chi tiết'!$A$2:$A$50=$A9)*('So sánh chi tiết'!$D$2:$D$50&lt;&gt;"")*('So sánh chi tiết'!$F$2:$F$50&lt;&gt;"")*'So sánh chi tiết'!$F$2:$F$50)/SUMPRODUCT(('So sánh chi tiết'!$A$2:$A$50=$A9)*('So sánh chi tiết'!$D$2:$D$50&lt;&gt;"")*('So sánh chi tiết'!$F$2:$F$50&lt;&gt;"")),"")</f>
        <v>0.6</v>
      </c>
      <c r="F9" s="6">
        <f>IFERROR(E9-D9,"")</f>
        <v>-1.4</v>
      </c>
      <c r="G9" s="7" t="str">
        <f>IF(OR(C9&lt;3,F9=""),"quá ít mục",IF(F9&gt;0.25,"FRACILE",IF(F9&lt;-0.25,"Vivoire","ngang nhau")))</f>
        <v>Vivoire</v>
      </c>
    </row>
    <row r="10" ht="20" customHeight="1" spans="1:7" x14ac:dyDescent="0.25">
      <c r="A10" s="4" t="s">
        <v>14</v>
      </c>
      <c r="B10" s="5">
        <f>COUNTIF('So sánh chi tiết'!$A$2:$A$50,$A10)</f>
        <v>6</v>
      </c>
      <c r="C10" s="5">
        <f>SUMPRODUCT(('So sánh chi tiết'!$A$2:$A$50=$A10)*('So sánh chi tiết'!$D$2:$D$50&lt;&gt;"")*('So sánh chi tiết'!$F$2:$F$50&lt;&gt;""))</f>
        <v>3</v>
      </c>
      <c r="D10" s="6">
        <f>IFERROR(SUMPRODUCT(('So sánh chi tiết'!$A$2:$A$50=$A10)*('So sánh chi tiết'!$D$2:$D$50&lt;&gt;"")*('So sánh chi tiết'!$F$2:$F$50&lt;&gt;"")*'So sánh chi tiết'!$D$2:$D$50)/SUMPRODUCT(('So sánh chi tiết'!$A$2:$A$50=$A10)*('So sánh chi tiết'!$D$2:$D$50&lt;&gt;"")*('So sánh chi tiết'!$F$2:$F$50&lt;&gt;"")),"")</f>
        <v>2</v>
      </c>
      <c r="E10" s="6">
        <f>IFERROR(SUMPRODUCT(('So sánh chi tiết'!$A$2:$A$50=$A10)*('So sánh chi tiết'!$D$2:$D$50&lt;&gt;"")*('So sánh chi tiết'!$F$2:$F$50&lt;&gt;"")*'So sánh chi tiết'!$F$2:$F$50)/SUMPRODUCT(('So sánh chi tiết'!$A$2:$A$50=$A10)*('So sánh chi tiết'!$D$2:$D$50&lt;&gt;"")*('So sánh chi tiết'!$F$2:$F$50&lt;&gt;"")),"")</f>
        <v>1.3333333333333333</v>
      </c>
      <c r="F10" s="6">
        <f>IFERROR(E10-D10,"")</f>
        <v>-0.6666666666666667</v>
      </c>
      <c r="G10" s="7" t="str">
        <f>IF(OR(C10&lt;3,F10=""),"quá ít mục",IF(F10&gt;0.25,"FRACILE",IF(F10&lt;-0.25,"Vivoire","ngang nhau")))</f>
        <v>Vivoire</v>
      </c>
    </row>
    <row r="11" ht="20" customHeight="1" spans="1:7" x14ac:dyDescent="0.25">
      <c r="A11" s="4" t="s">
        <v>15</v>
      </c>
      <c r="B11" s="5">
        <f>COUNTIF('So sánh chi tiết'!$A$2:$A$50,$A11)</f>
        <v>10</v>
      </c>
      <c r="C11" s="5">
        <f>SUMPRODUCT(('So sánh chi tiết'!$A$2:$A$50=$A11)*('So sánh chi tiết'!$D$2:$D$50&lt;&gt;"")*('So sánh chi tiết'!$F$2:$F$50&lt;&gt;""))</f>
        <v>5</v>
      </c>
      <c r="D11" s="6">
        <f>IFERROR(SUMPRODUCT(('So sánh chi tiết'!$A$2:$A$50=$A11)*('So sánh chi tiết'!$D$2:$D$50&lt;&gt;"")*('So sánh chi tiết'!$F$2:$F$50&lt;&gt;"")*'So sánh chi tiết'!$D$2:$D$50)/SUMPRODUCT(('So sánh chi tiết'!$A$2:$A$50=$A11)*('So sánh chi tiết'!$D$2:$D$50&lt;&gt;"")*('So sánh chi tiết'!$F$2:$F$50&lt;&gt;"")),"")</f>
        <v>2</v>
      </c>
      <c r="E11" s="6">
        <f>IFERROR(SUMPRODUCT(('So sánh chi tiết'!$A$2:$A$50=$A11)*('So sánh chi tiết'!$D$2:$D$50&lt;&gt;"")*('So sánh chi tiết'!$F$2:$F$50&lt;&gt;"")*'So sánh chi tiết'!$F$2:$F$50)/SUMPRODUCT(('So sánh chi tiết'!$A$2:$A$50=$A11)*('So sánh chi tiết'!$D$2:$D$50&lt;&gt;"")*('So sánh chi tiết'!$F$2:$F$50&lt;&gt;"")),"")</f>
        <v>1</v>
      </c>
      <c r="F11" s="6">
        <f>IFERROR(E11-D11,"")</f>
        <v>-1</v>
      </c>
      <c r="G11" s="7" t="str">
        <f>IF(OR(C11&lt;3,F11=""),"quá ít mục",IF(F11&gt;0.25,"FRACILE",IF(F11&lt;-0.25,"Vivoire","ngang nhau")))</f>
        <v>Vivoire</v>
      </c>
    </row>
    <row r="12" ht="20" customHeight="1" spans="1:7" x14ac:dyDescent="0.25">
      <c r="A12" s="4" t="s">
        <v>16</v>
      </c>
      <c r="B12" s="5">
        <f>COUNTIF('So sánh chi tiết'!$A$2:$A$50,$A12)</f>
        <v>6</v>
      </c>
      <c r="C12" s="5">
        <f>SUMPRODUCT(('So sánh chi tiết'!$A$2:$A$50=$A12)*('So sánh chi tiết'!$D$2:$D$50&lt;&gt;"")*('So sánh chi tiết'!$F$2:$F$50&lt;&gt;""))</f>
        <v>5</v>
      </c>
      <c r="D12" s="6">
        <f>IFERROR(SUMPRODUCT(('So sánh chi tiết'!$A$2:$A$50=$A12)*('So sánh chi tiết'!$D$2:$D$50&lt;&gt;"")*('So sánh chi tiết'!$F$2:$F$50&lt;&gt;"")*'So sánh chi tiết'!$D$2:$D$50)/SUMPRODUCT(('So sánh chi tiết'!$A$2:$A$50=$A12)*('So sánh chi tiết'!$D$2:$D$50&lt;&gt;"")*('So sánh chi tiết'!$F$2:$F$50&lt;&gt;"")),"")</f>
        <v>1.8</v>
      </c>
      <c r="E12" s="6">
        <f>IFERROR(SUMPRODUCT(('So sánh chi tiết'!$A$2:$A$50=$A12)*('So sánh chi tiết'!$D$2:$D$50&lt;&gt;"")*('So sánh chi tiết'!$F$2:$F$50&lt;&gt;"")*'So sánh chi tiết'!$F$2:$F$50)/SUMPRODUCT(('So sánh chi tiết'!$A$2:$A$50=$A12)*('So sánh chi tiết'!$D$2:$D$50&lt;&gt;"")*('So sánh chi tiết'!$F$2:$F$50&lt;&gt;"")),"")</f>
        <v>1</v>
      </c>
      <c r="F12" s="6">
        <f>IFERROR(E12-D12,"")</f>
        <v>-0.8</v>
      </c>
      <c r="G12" s="7" t="str">
        <f>IF(OR(C12&lt;3,F12=""),"quá ít mục",IF(F12&gt;0.25,"FRACILE",IF(F12&lt;-0.25,"Vivoire","ngang nhau")))</f>
        <v>Vivoire</v>
      </c>
    </row>
    <row r="13" ht="20" customHeight="1" spans="1:7" x14ac:dyDescent="0.25">
      <c r="A13" s="4" t="s">
        <v>17</v>
      </c>
      <c r="B13" s="5">
        <f>COUNTIF('So sánh chi tiết'!$A$2:$A$50,$A13)</f>
        <v>6</v>
      </c>
      <c r="C13" s="5">
        <f>SUMPRODUCT(('So sánh chi tiết'!$A$2:$A$50=$A13)*('So sánh chi tiết'!$D$2:$D$50&lt;&gt;"")*('So sánh chi tiết'!$F$2:$F$50&lt;&gt;""))</f>
        <v>5</v>
      </c>
      <c r="D13" s="6">
        <f>IFERROR(SUMPRODUCT(('So sánh chi tiết'!$A$2:$A$50=$A13)*('So sánh chi tiết'!$D$2:$D$50&lt;&gt;"")*('So sánh chi tiết'!$F$2:$F$50&lt;&gt;"")*'So sánh chi tiết'!$D$2:$D$50)/SUMPRODUCT(('So sánh chi tiết'!$A$2:$A$50=$A13)*('So sánh chi tiết'!$D$2:$D$50&lt;&gt;"")*('So sánh chi tiết'!$F$2:$F$50&lt;&gt;"")),"")</f>
        <v>1.8</v>
      </c>
      <c r="E13" s="6">
        <f>IFERROR(SUMPRODUCT(('So sánh chi tiết'!$A$2:$A$50=$A13)*('So sánh chi tiết'!$D$2:$D$50&lt;&gt;"")*('So sánh chi tiết'!$F$2:$F$50&lt;&gt;"")*'So sánh chi tiết'!$F$2:$F$50)/SUMPRODUCT(('So sánh chi tiết'!$A$2:$A$50=$A13)*('So sánh chi tiết'!$D$2:$D$50&lt;&gt;"")*('So sánh chi tiết'!$F$2:$F$50&lt;&gt;"")),"")</f>
        <v>0.6</v>
      </c>
      <c r="F13" s="6">
        <f>IFERROR(E13-D13,"")</f>
        <v>-1.2000000000000002</v>
      </c>
      <c r="G13" s="7" t="str">
        <f>IF(OR(C13&lt;3,F13=""),"quá ít mục",IF(F13&gt;0.25,"FRACILE",IF(F13&lt;-0.25,"Vivoire","ngang nhau")))</f>
        <v>Vivoire</v>
      </c>
    </row>
    <row r="14" spans="1:7" x14ac:dyDescent="0.25">
      <c r="A14" s="8" t="s">
        <v>18</v>
      </c>
      <c r="B14" s="9">
        <f>SUM(B7:B13)</f>
        <v>49</v>
      </c>
      <c r="C14" s="9">
        <f>SUM(C7:C13)</f>
        <v>30</v>
      </c>
      <c r="D14" s="10">
        <f>IFERROR(SUMPRODUCT(('So sánh chi tiết'!$D$2:$D$50&lt;&gt;"")*('So sánh chi tiết'!$F$2:$F$50&lt;&gt;"")*'So sánh chi tiết'!$D$2:$D$50)/SUMPRODUCT(('So sánh chi tiết'!$D$2:$D$50&lt;&gt;"")*('So sánh chi tiết'!$F$2:$F$50&lt;&gt;"")),"")</f>
        <v>1.8666666666666667</v>
      </c>
      <c r="E14" s="10">
        <f>IFERROR(SUMPRODUCT(('So sánh chi tiết'!$D$2:$D$50&lt;&gt;"")*('So sánh chi tiết'!$F$2:$F$50&lt;&gt;"")*'So sánh chi tiết'!$F$2:$F$50)/SUMPRODUCT(('So sánh chi tiết'!$D$2:$D$50&lt;&gt;"")*('So sánh chi tiết'!$F$2:$F$50&lt;&gt;"")),"")</f>
        <v>0.8333333333333334</v>
      </c>
      <c r="F14" s="10">
        <f>E14-D14</f>
        <v>-1.0333333333333332</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sheetData>
  <mergeCells count="1">
    <mergeCell ref="A17:G19"/>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0"/>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30</v>
      </c>
      <c r="C1" s="3" t="s">
        <v>31</v>
      </c>
      <c r="D1" s="3" t="s">
        <v>32</v>
      </c>
      <c r="E1" s="3" t="s">
        <v>33</v>
      </c>
      <c r="F1" s="3" t="s">
        <v>34</v>
      </c>
      <c r="G1" s="3" t="s">
        <v>35</v>
      </c>
      <c r="H1" s="3" t="s">
        <v>36</v>
      </c>
      <c r="I1" s="3" t="s">
        <v>37</v>
      </c>
    </row>
    <row r="2" ht="44" customHeight="1" spans="1:9" x14ac:dyDescent="0.25">
      <c r="A2" s="16" t="s">
        <v>11</v>
      </c>
      <c r="B2" s="17" t="s">
        <v>38</v>
      </c>
      <c r="C2" s="18" t="s">
        <v>39</v>
      </c>
      <c r="D2" s="19">
        <v>2</v>
      </c>
      <c r="E2" s="18" t="s">
        <v>40</v>
      </c>
      <c r="F2" s="19">
        <v>2</v>
      </c>
      <c r="G2" s="20" t="str">
        <f>IF(OR(D2="",F2=""),"chưa rõ",IF(F2&gt;D2,"FRACILE",IF(D2&gt;F2,"Vivoire","hoà")))</f>
        <v>hoà</v>
      </c>
      <c r="H2" s="16" t="s">
        <v>41</v>
      </c>
      <c r="I2" s="21" t="s">
        <v>42</v>
      </c>
    </row>
    <row r="3" ht="44" customHeight="1" spans="1:9" x14ac:dyDescent="0.25">
      <c r="A3" s="22" t="s">
        <v>11</v>
      </c>
      <c r="B3" s="23" t="s">
        <v>43</v>
      </c>
      <c r="C3" s="24" t="s">
        <v>44</v>
      </c>
      <c r="D3" s="25"/>
      <c r="E3" s="24" t="s">
        <v>45</v>
      </c>
      <c r="F3" s="25">
        <v>2</v>
      </c>
      <c r="G3" s="26" t="str">
        <f>IF(OR(D3="",F3=""),"chưa rõ",IF(F3&gt;D3,"FRACILE",IF(D3&gt;F3,"Vivoire","hoà")))</f>
        <v>chưa rõ</v>
      </c>
      <c r="H3" s="22" t="s">
        <v>41</v>
      </c>
      <c r="I3" s="27" t="s">
        <v>46</v>
      </c>
    </row>
    <row r="4" ht="44" customHeight="1" spans="1:9" x14ac:dyDescent="0.25">
      <c r="A4" s="28" t="s">
        <v>11</v>
      </c>
      <c r="B4" s="29" t="s">
        <v>47</v>
      </c>
      <c r="C4" s="30" t="s">
        <v>48</v>
      </c>
      <c r="D4" s="31">
        <v>2</v>
      </c>
      <c r="E4" s="30" t="s">
        <v>49</v>
      </c>
      <c r="F4" s="31">
        <v>0</v>
      </c>
      <c r="G4" s="32" t="str">
        <f>IF(OR(D4="",F4=""),"chưa rõ",IF(F4&gt;D4,"FRACILE",IF(D4&gt;F4,"Vivoire","hoà")))</f>
        <v>Vivoire</v>
      </c>
      <c r="H4" s="28" t="s">
        <v>50</v>
      </c>
      <c r="I4" s="33" t="s">
        <v>51</v>
      </c>
    </row>
    <row r="5" ht="44" customHeight="1" spans="1:9" x14ac:dyDescent="0.25">
      <c r="A5" s="16" t="s">
        <v>11</v>
      </c>
      <c r="B5" s="17" t="s">
        <v>52</v>
      </c>
      <c r="C5" s="18" t="s">
        <v>53</v>
      </c>
      <c r="D5" s="19">
        <v>2</v>
      </c>
      <c r="E5" s="18" t="s">
        <v>54</v>
      </c>
      <c r="F5" s="19">
        <v>1</v>
      </c>
      <c r="G5" s="20" t="str">
        <f>IF(OR(D5="",F5=""),"chưa rõ",IF(F5&gt;D5,"FRACILE",IF(D5&gt;F5,"Vivoire","hoà")))</f>
        <v>Vivoire</v>
      </c>
      <c r="H5" s="16" t="s">
        <v>41</v>
      </c>
      <c r="I5" s="21" t="s">
        <v>55</v>
      </c>
    </row>
    <row r="6" ht="44" customHeight="1" spans="1:9" x14ac:dyDescent="0.25">
      <c r="A6" s="28" t="s">
        <v>11</v>
      </c>
      <c r="B6" s="29" t="s">
        <v>56</v>
      </c>
      <c r="C6" s="30" t="s">
        <v>57</v>
      </c>
      <c r="D6" s="31">
        <v>2</v>
      </c>
      <c r="E6" s="30" t="s">
        <v>58</v>
      </c>
      <c r="F6" s="31">
        <v>0</v>
      </c>
      <c r="G6" s="32" t="str">
        <f>IF(OR(D6="",F6=""),"chưa rõ",IF(F6&gt;D6,"FRACILE",IF(D6&gt;F6,"Vivoire","hoà")))</f>
        <v>Vivoire</v>
      </c>
      <c r="H6" s="28" t="s">
        <v>50</v>
      </c>
      <c r="I6" s="33" t="s">
        <v>59</v>
      </c>
    </row>
    <row r="7" ht="44" customHeight="1" spans="1:9" x14ac:dyDescent="0.25">
      <c r="A7" s="28" t="s">
        <v>11</v>
      </c>
      <c r="B7" s="29" t="s">
        <v>60</v>
      </c>
      <c r="C7" s="30" t="s">
        <v>61</v>
      </c>
      <c r="D7" s="31">
        <v>2</v>
      </c>
      <c r="E7" s="30" t="s">
        <v>62</v>
      </c>
      <c r="F7" s="31">
        <v>0</v>
      </c>
      <c r="G7" s="32" t="str">
        <f>IF(OR(D7="",F7=""),"chưa rõ",IF(F7&gt;D7,"FRACILE",IF(D7&gt;F7,"Vivoire","hoà")))</f>
        <v>Vivoire</v>
      </c>
      <c r="H7" s="28" t="s">
        <v>63</v>
      </c>
      <c r="I7" s="33" t="s">
        <v>64</v>
      </c>
    </row>
    <row r="8" ht="44" customHeight="1" spans="1:9" x14ac:dyDescent="0.25">
      <c r="A8" s="22" t="s">
        <v>11</v>
      </c>
      <c r="B8" s="23" t="s">
        <v>65</v>
      </c>
      <c r="C8" s="24" t="s">
        <v>66</v>
      </c>
      <c r="D8" s="25"/>
      <c r="E8" s="24" t="s">
        <v>67</v>
      </c>
      <c r="F8" s="25">
        <v>2</v>
      </c>
      <c r="G8" s="26" t="str">
        <f>IF(OR(D8="",F8=""),"chưa rõ",IF(F8&gt;D8,"FRACILE",IF(D8&gt;F8,"Vivoire","hoà")))</f>
        <v>chưa rõ</v>
      </c>
      <c r="H8" s="22" t="s">
        <v>41</v>
      </c>
      <c r="I8" s="27" t="s">
        <v>68</v>
      </c>
    </row>
    <row r="9" ht="44" customHeight="1" spans="1:9" x14ac:dyDescent="0.25">
      <c r="A9" s="16" t="s">
        <v>11</v>
      </c>
      <c r="B9" s="17" t="s">
        <v>69</v>
      </c>
      <c r="C9" s="18" t="s">
        <v>23</v>
      </c>
      <c r="D9" s="19">
        <v>0</v>
      </c>
      <c r="E9" s="18" t="s">
        <v>70</v>
      </c>
      <c r="F9" s="19">
        <v>1</v>
      </c>
      <c r="G9" s="20" t="str">
        <f>IF(OR(D9="",F9=""),"chưa rõ",IF(F9&gt;D9,"FRACILE",IF(D9&gt;F9,"Vivoire","hoà")))</f>
        <v>FRACILE</v>
      </c>
      <c r="H9" s="16" t="s">
        <v>71</v>
      </c>
      <c r="I9" s="21" t="s">
        <v>72</v>
      </c>
    </row>
    <row r="10" ht="44" customHeight="1" spans="1:9" x14ac:dyDescent="0.25">
      <c r="A10" s="16" t="s">
        <v>12</v>
      </c>
      <c r="B10" s="17" t="s">
        <v>73</v>
      </c>
      <c r="C10" s="18" t="s">
        <v>74</v>
      </c>
      <c r="D10" s="19">
        <v>2</v>
      </c>
      <c r="E10" s="18" t="s">
        <v>75</v>
      </c>
      <c r="F10" s="19">
        <v>1</v>
      </c>
      <c r="G10" s="20" t="str">
        <f>IF(OR(D10="",F10=""),"chưa rõ",IF(F10&gt;D10,"FRACILE",IF(D10&gt;F10,"Vivoire","hoà")))</f>
        <v>Vivoire</v>
      </c>
      <c r="H10" s="16" t="s">
        <v>41</v>
      </c>
      <c r="I10" s="21" t="s">
        <v>76</v>
      </c>
    </row>
    <row r="11" ht="44" customHeight="1" spans="1:9" x14ac:dyDescent="0.25">
      <c r="A11" s="22" t="s">
        <v>12</v>
      </c>
      <c r="B11" s="23" t="s">
        <v>77</v>
      </c>
      <c r="C11" s="24" t="s">
        <v>78</v>
      </c>
      <c r="D11" s="25"/>
      <c r="E11" s="24" t="s">
        <v>79</v>
      </c>
      <c r="F11" s="25">
        <v>2</v>
      </c>
      <c r="G11" s="26" t="str">
        <f>IF(OR(D11="",F11=""),"chưa rõ",IF(F11&gt;D11,"FRACILE",IF(D11&gt;F11,"Vivoire","hoà")))</f>
        <v>chưa rõ</v>
      </c>
      <c r="H11" s="22" t="s">
        <v>41</v>
      </c>
      <c r="I11" s="27" t="s">
        <v>80</v>
      </c>
    </row>
    <row r="12" ht="44" customHeight="1" spans="1:9" x14ac:dyDescent="0.25">
      <c r="A12" s="22" t="s">
        <v>12</v>
      </c>
      <c r="B12" s="23" t="s">
        <v>81</v>
      </c>
      <c r="C12" s="24" t="s">
        <v>78</v>
      </c>
      <c r="D12" s="25"/>
      <c r="E12" s="24" t="s">
        <v>82</v>
      </c>
      <c r="F12" s="25">
        <v>2</v>
      </c>
      <c r="G12" s="26" t="str">
        <f>IF(OR(D12="",F12=""),"chưa rõ",IF(F12&gt;D12,"FRACILE",IF(D12&gt;F12,"Vivoire","hoà")))</f>
        <v>chưa rõ</v>
      </c>
      <c r="H12" s="22" t="s">
        <v>41</v>
      </c>
      <c r="I12" s="27" t="s">
        <v>83</v>
      </c>
    </row>
    <row r="13" ht="44" customHeight="1" spans="1:9" x14ac:dyDescent="0.25">
      <c r="A13" s="22" t="s">
        <v>12</v>
      </c>
      <c r="B13" s="23" t="s">
        <v>84</v>
      </c>
      <c r="C13" s="24" t="s">
        <v>78</v>
      </c>
      <c r="D13" s="25"/>
      <c r="E13" s="24" t="s">
        <v>85</v>
      </c>
      <c r="F13" s="25">
        <v>2</v>
      </c>
      <c r="G13" s="26" t="str">
        <f>IF(OR(D13="",F13=""),"chưa rõ",IF(F13&gt;D13,"FRACILE",IF(D13&gt;F13,"Vivoire","hoà")))</f>
        <v>chưa rõ</v>
      </c>
      <c r="H13" s="22" t="s">
        <v>41</v>
      </c>
      <c r="I13" s="27" t="s">
        <v>86</v>
      </c>
    </row>
    <row r="14" ht="44" customHeight="1" spans="1:9" x14ac:dyDescent="0.25">
      <c r="A14" s="22" t="s">
        <v>12</v>
      </c>
      <c r="B14" s="23" t="s">
        <v>87</v>
      </c>
      <c r="C14" s="24" t="s">
        <v>78</v>
      </c>
      <c r="D14" s="25"/>
      <c r="E14" s="24" t="s">
        <v>88</v>
      </c>
      <c r="F14" s="25">
        <v>2</v>
      </c>
      <c r="G14" s="26" t="str">
        <f>IF(OR(D14="",F14=""),"chưa rõ",IF(F14&gt;D14,"FRACILE",IF(D14&gt;F14,"Vivoire","hoà")))</f>
        <v>chưa rõ</v>
      </c>
      <c r="H14" s="22" t="s">
        <v>41</v>
      </c>
      <c r="I14" s="27" t="s">
        <v>89</v>
      </c>
    </row>
    <row r="15" ht="44" customHeight="1" spans="1:9" x14ac:dyDescent="0.25">
      <c r="A15" s="22" t="s">
        <v>12</v>
      </c>
      <c r="B15" s="23" t="s">
        <v>90</v>
      </c>
      <c r="C15" s="24" t="s">
        <v>78</v>
      </c>
      <c r="D15" s="25"/>
      <c r="E15" s="24" t="s">
        <v>91</v>
      </c>
      <c r="F15" s="25">
        <v>2</v>
      </c>
      <c r="G15" s="26" t="str">
        <f>IF(OR(D15="",F15=""),"chưa rõ",IF(F15&gt;D15,"FRACILE",IF(D15&gt;F15,"Vivoire","hoà")))</f>
        <v>chưa rõ</v>
      </c>
      <c r="H15" s="22" t="s">
        <v>41</v>
      </c>
      <c r="I15" s="27" t="s">
        <v>92</v>
      </c>
    </row>
    <row r="16" ht="44" customHeight="1" spans="1:9" x14ac:dyDescent="0.25">
      <c r="A16" s="16" t="s">
        <v>13</v>
      </c>
      <c r="B16" s="17" t="s">
        <v>93</v>
      </c>
      <c r="C16" s="18" t="s">
        <v>94</v>
      </c>
      <c r="D16" s="19">
        <v>2</v>
      </c>
      <c r="E16" s="18" t="s">
        <v>95</v>
      </c>
      <c r="F16" s="19">
        <v>1</v>
      </c>
      <c r="G16" s="20" t="str">
        <f>IF(OR(D16="",F16=""),"chưa rõ",IF(F16&gt;D16,"FRACILE",IF(D16&gt;F16,"Vivoire","hoà")))</f>
        <v>Vivoire</v>
      </c>
      <c r="H16" s="16" t="s">
        <v>96</v>
      </c>
      <c r="I16" s="21" t="s">
        <v>97</v>
      </c>
    </row>
    <row r="17" ht="44" customHeight="1" spans="1:9" x14ac:dyDescent="0.25">
      <c r="A17" s="16" t="s">
        <v>13</v>
      </c>
      <c r="B17" s="17" t="s">
        <v>98</v>
      </c>
      <c r="C17" s="18" t="s">
        <v>99</v>
      </c>
      <c r="D17" s="19">
        <v>2</v>
      </c>
      <c r="E17" s="18" t="s">
        <v>100</v>
      </c>
      <c r="F17" s="19">
        <v>1</v>
      </c>
      <c r="G17" s="20" t="str">
        <f>IF(OR(D17="",F17=""),"chưa rõ",IF(F17&gt;D17,"FRACILE",IF(D17&gt;F17,"Vivoire","hoà")))</f>
        <v>Vivoire</v>
      </c>
      <c r="H17" s="16" t="s">
        <v>41</v>
      </c>
      <c r="I17" s="21" t="s">
        <v>101</v>
      </c>
    </row>
    <row r="18" ht="44" customHeight="1" spans="1:9" x14ac:dyDescent="0.25">
      <c r="A18" s="22" t="s">
        <v>13</v>
      </c>
      <c r="B18" s="23" t="s">
        <v>102</v>
      </c>
      <c r="C18" s="24" t="s">
        <v>103</v>
      </c>
      <c r="D18" s="25"/>
      <c r="E18" s="24" t="s">
        <v>104</v>
      </c>
      <c r="F18" s="25">
        <v>2</v>
      </c>
      <c r="G18" s="26" t="str">
        <f>IF(OR(D18="",F18=""),"chưa rõ",IF(F18&gt;D18,"FRACILE",IF(D18&gt;F18,"Vivoire","hoà")))</f>
        <v>chưa rõ</v>
      </c>
      <c r="H18" s="22" t="s">
        <v>41</v>
      </c>
      <c r="I18" s="27" t="s">
        <v>105</v>
      </c>
    </row>
    <row r="19" ht="44" customHeight="1" spans="1:9" x14ac:dyDescent="0.25">
      <c r="A19" s="28" t="s">
        <v>13</v>
      </c>
      <c r="B19" s="29" t="s">
        <v>106</v>
      </c>
      <c r="C19" s="30" t="s">
        <v>107</v>
      </c>
      <c r="D19" s="31">
        <v>2</v>
      </c>
      <c r="E19" s="30" t="s">
        <v>108</v>
      </c>
      <c r="F19" s="31">
        <v>0</v>
      </c>
      <c r="G19" s="32" t="str">
        <f>IF(OR(D19="",F19=""),"chưa rõ",IF(F19&gt;D19,"FRACILE",IF(D19&gt;F19,"Vivoire","hoà")))</f>
        <v>Vivoire</v>
      </c>
      <c r="H19" s="28" t="s">
        <v>109</v>
      </c>
      <c r="I19" s="33" t="s">
        <v>110</v>
      </c>
    </row>
    <row r="20" ht="44" customHeight="1" spans="1:9" x14ac:dyDescent="0.25">
      <c r="A20" s="28" t="s">
        <v>13</v>
      </c>
      <c r="B20" s="29" t="s">
        <v>111</v>
      </c>
      <c r="C20" s="30" t="s">
        <v>85</v>
      </c>
      <c r="D20" s="31">
        <v>2</v>
      </c>
      <c r="E20" s="30" t="s">
        <v>108</v>
      </c>
      <c r="F20" s="31">
        <v>0</v>
      </c>
      <c r="G20" s="32" t="str">
        <f>IF(OR(D20="",F20=""),"chưa rõ",IF(F20&gt;D20,"FRACILE",IF(D20&gt;F20,"Vivoire","hoà")))</f>
        <v>Vivoire</v>
      </c>
      <c r="H20" s="28" t="s">
        <v>109</v>
      </c>
      <c r="I20" s="33" t="s">
        <v>112</v>
      </c>
    </row>
    <row r="21" ht="44" customHeight="1" spans="1:9" x14ac:dyDescent="0.25">
      <c r="A21" s="16" t="s">
        <v>13</v>
      </c>
      <c r="B21" s="17" t="s">
        <v>113</v>
      </c>
      <c r="C21" s="18" t="s">
        <v>114</v>
      </c>
      <c r="D21" s="19">
        <v>2</v>
      </c>
      <c r="E21" s="18" t="s">
        <v>115</v>
      </c>
      <c r="F21" s="19">
        <v>1</v>
      </c>
      <c r="G21" s="20" t="str">
        <f>IF(OR(D21="",F21=""),"chưa rõ",IF(F21&gt;D21,"FRACILE",IF(D21&gt;F21,"Vivoire","hoà")))</f>
        <v>Vivoire</v>
      </c>
      <c r="H21" s="16" t="s">
        <v>41</v>
      </c>
      <c r="I21" s="21" t="s">
        <v>116</v>
      </c>
    </row>
    <row r="22" ht="44" customHeight="1" spans="1:9" x14ac:dyDescent="0.25">
      <c r="A22" s="22" t="s">
        <v>13</v>
      </c>
      <c r="B22" s="23" t="s">
        <v>117</v>
      </c>
      <c r="C22" s="24" t="s">
        <v>78</v>
      </c>
      <c r="D22" s="25"/>
      <c r="E22" s="24" t="s">
        <v>118</v>
      </c>
      <c r="F22" s="25">
        <v>2</v>
      </c>
      <c r="G22" s="26" t="str">
        <f>IF(OR(D22="",F22=""),"chưa rõ",IF(F22&gt;D22,"FRACILE",IF(D22&gt;F22,"Vivoire","hoà")))</f>
        <v>chưa rõ</v>
      </c>
      <c r="H22" s="22" t="s">
        <v>41</v>
      </c>
      <c r="I22" s="27" t="s">
        <v>119</v>
      </c>
    </row>
    <row r="23" ht="44" customHeight="1" spans="1:9" x14ac:dyDescent="0.25">
      <c r="A23" s="16" t="s">
        <v>14</v>
      </c>
      <c r="B23" s="17" t="s">
        <v>120</v>
      </c>
      <c r="C23" s="18" t="s">
        <v>121</v>
      </c>
      <c r="D23" s="19">
        <v>2</v>
      </c>
      <c r="E23" s="18" t="s">
        <v>122</v>
      </c>
      <c r="F23" s="19">
        <v>2</v>
      </c>
      <c r="G23" s="20" t="str">
        <f>IF(OR(D23="",F23=""),"chưa rõ",IF(F23&gt;D23,"FRACILE",IF(D23&gt;F23,"Vivoire","hoà")))</f>
        <v>hoà</v>
      </c>
      <c r="H23" s="16" t="s">
        <v>41</v>
      </c>
      <c r="I23" s="21" t="s">
        <v>123</v>
      </c>
    </row>
    <row r="24" ht="44" customHeight="1" spans="1:9" x14ac:dyDescent="0.25">
      <c r="A24" s="16" t="s">
        <v>14</v>
      </c>
      <c r="B24" s="17" t="s">
        <v>124</v>
      </c>
      <c r="C24" s="18" t="s">
        <v>125</v>
      </c>
      <c r="D24" s="19"/>
      <c r="E24" s="18" t="s">
        <v>126</v>
      </c>
      <c r="F24" s="19">
        <v>1</v>
      </c>
      <c r="G24" s="20" t="str">
        <f>IF(OR(D24="",F24=""),"chưa rõ",IF(F24&gt;D24,"FRACILE",IF(D24&gt;F24,"Vivoire","hoà")))</f>
        <v>chưa rõ</v>
      </c>
      <c r="H24" s="16" t="s">
        <v>41</v>
      </c>
      <c r="I24" s="21" t="s">
        <v>127</v>
      </c>
    </row>
    <row r="25" ht="44" customHeight="1" spans="1:9" x14ac:dyDescent="0.25">
      <c r="A25" s="22" t="s">
        <v>14</v>
      </c>
      <c r="B25" s="23" t="s">
        <v>128</v>
      </c>
      <c r="C25" s="24" t="s">
        <v>78</v>
      </c>
      <c r="D25" s="25"/>
      <c r="E25" s="24" t="s">
        <v>129</v>
      </c>
      <c r="F25" s="25">
        <v>2</v>
      </c>
      <c r="G25" s="26" t="str">
        <f>IF(OR(D25="",F25=""),"chưa rõ",IF(F25&gt;D25,"FRACILE",IF(D25&gt;F25,"Vivoire","hoà")))</f>
        <v>chưa rõ</v>
      </c>
      <c r="H25" s="22" t="s">
        <v>41</v>
      </c>
      <c r="I25" s="27" t="s">
        <v>130</v>
      </c>
    </row>
    <row r="26" ht="44" customHeight="1" spans="1:9" x14ac:dyDescent="0.25">
      <c r="A26" s="16" t="s">
        <v>14</v>
      </c>
      <c r="B26" s="17" t="s">
        <v>131</v>
      </c>
      <c r="C26" s="18" t="s">
        <v>132</v>
      </c>
      <c r="D26" s="19">
        <v>2</v>
      </c>
      <c r="E26" s="18" t="s">
        <v>133</v>
      </c>
      <c r="F26" s="19">
        <v>2</v>
      </c>
      <c r="G26" s="20" t="str">
        <f>IF(OR(D26="",F26=""),"chưa rõ",IF(F26&gt;D26,"FRACILE",IF(D26&gt;F26,"Vivoire","hoà")))</f>
        <v>hoà</v>
      </c>
      <c r="H26" s="16" t="s">
        <v>41</v>
      </c>
      <c r="I26" s="21" t="s">
        <v>134</v>
      </c>
    </row>
    <row r="27" ht="44" customHeight="1" spans="1:9" x14ac:dyDescent="0.25">
      <c r="A27" s="28" t="s">
        <v>14</v>
      </c>
      <c r="B27" s="29" t="s">
        <v>135</v>
      </c>
      <c r="C27" s="30" t="s">
        <v>136</v>
      </c>
      <c r="D27" s="31">
        <v>2</v>
      </c>
      <c r="E27" s="30" t="s">
        <v>108</v>
      </c>
      <c r="F27" s="31">
        <v>0</v>
      </c>
      <c r="G27" s="32" t="str">
        <f>IF(OR(D27="",F27=""),"chưa rõ",IF(F27&gt;D27,"FRACILE",IF(D27&gt;F27,"Vivoire","hoà")))</f>
        <v>Vivoire</v>
      </c>
      <c r="H27" s="28" t="s">
        <v>109</v>
      </c>
      <c r="I27" s="33" t="s">
        <v>112</v>
      </c>
    </row>
    <row r="28" ht="44" customHeight="1" spans="1:9" x14ac:dyDescent="0.25">
      <c r="A28" s="16" t="s">
        <v>14</v>
      </c>
      <c r="B28" s="17" t="s">
        <v>137</v>
      </c>
      <c r="C28" s="18" t="s">
        <v>78</v>
      </c>
      <c r="D28" s="19"/>
      <c r="E28" s="18" t="s">
        <v>138</v>
      </c>
      <c r="F28" s="19">
        <v>1</v>
      </c>
      <c r="G28" s="20" t="str">
        <f>IF(OR(D28="",F28=""),"chưa rõ",IF(F28&gt;D28,"FRACILE",IF(D28&gt;F28,"Vivoire","hoà")))</f>
        <v>chưa rõ</v>
      </c>
      <c r="H28" s="16" t="s">
        <v>139</v>
      </c>
      <c r="I28" s="21" t="s">
        <v>140</v>
      </c>
    </row>
    <row r="29" ht="44" customHeight="1" spans="1:9" x14ac:dyDescent="0.25">
      <c r="A29" s="22" t="s">
        <v>15</v>
      </c>
      <c r="B29" s="23" t="s">
        <v>141</v>
      </c>
      <c r="C29" s="24" t="s">
        <v>78</v>
      </c>
      <c r="D29" s="25"/>
      <c r="E29" s="24" t="s">
        <v>142</v>
      </c>
      <c r="F29" s="25">
        <v>2</v>
      </c>
      <c r="G29" s="26" t="str">
        <f>IF(OR(D29="",F29=""),"chưa rõ",IF(F29&gt;D29,"FRACILE",IF(D29&gt;F29,"Vivoire","hoà")))</f>
        <v>chưa rõ</v>
      </c>
      <c r="H29" s="22" t="s">
        <v>143</v>
      </c>
      <c r="I29" s="27" t="s">
        <v>144</v>
      </c>
    </row>
    <row r="30" ht="44" customHeight="1" spans="1:9" x14ac:dyDescent="0.25">
      <c r="A30" s="22" t="s">
        <v>15</v>
      </c>
      <c r="B30" s="23" t="s">
        <v>145</v>
      </c>
      <c r="C30" s="24" t="s">
        <v>78</v>
      </c>
      <c r="D30" s="25"/>
      <c r="E30" s="24" t="s">
        <v>146</v>
      </c>
      <c r="F30" s="25">
        <v>2</v>
      </c>
      <c r="G30" s="26" t="str">
        <f>IF(OR(D30="",F30=""),"chưa rõ",IF(F30&gt;D30,"FRACILE",IF(D30&gt;F30,"Vivoire","hoà")))</f>
        <v>chưa rõ</v>
      </c>
      <c r="H30" s="22" t="s">
        <v>143</v>
      </c>
      <c r="I30" s="27" t="s">
        <v>147</v>
      </c>
    </row>
    <row r="31" ht="44" customHeight="1" spans="1:9" x14ac:dyDescent="0.25">
      <c r="A31" s="22" t="s">
        <v>15</v>
      </c>
      <c r="B31" s="23" t="s">
        <v>148</v>
      </c>
      <c r="C31" s="24" t="s">
        <v>78</v>
      </c>
      <c r="D31" s="25"/>
      <c r="E31" s="24" t="s">
        <v>149</v>
      </c>
      <c r="F31" s="25">
        <v>2</v>
      </c>
      <c r="G31" s="26" t="str">
        <f>IF(OR(D31="",F31=""),"chưa rõ",IF(F31&gt;D31,"FRACILE",IF(D31&gt;F31,"Vivoire","hoà")))</f>
        <v>chưa rõ</v>
      </c>
      <c r="H31" s="22" t="s">
        <v>143</v>
      </c>
      <c r="I31" s="27" t="s">
        <v>150</v>
      </c>
    </row>
    <row r="32" ht="44" customHeight="1" spans="1:9" x14ac:dyDescent="0.25">
      <c r="A32" s="22" t="s">
        <v>15</v>
      </c>
      <c r="B32" s="23" t="s">
        <v>151</v>
      </c>
      <c r="C32" s="24" t="s">
        <v>78</v>
      </c>
      <c r="D32" s="25"/>
      <c r="E32" s="24" t="s">
        <v>152</v>
      </c>
      <c r="F32" s="25">
        <v>2</v>
      </c>
      <c r="G32" s="26" t="str">
        <f>IF(OR(D32="",F32=""),"chưa rõ",IF(F32&gt;D32,"FRACILE",IF(D32&gt;F32,"Vivoire","hoà")))</f>
        <v>chưa rõ</v>
      </c>
      <c r="H32" s="22" t="s">
        <v>143</v>
      </c>
      <c r="I32" s="27" t="s">
        <v>153</v>
      </c>
    </row>
    <row r="33" ht="44" customHeight="1" spans="1:9" x14ac:dyDescent="0.25">
      <c r="A33" s="16" t="s">
        <v>15</v>
      </c>
      <c r="B33" s="17" t="s">
        <v>154</v>
      </c>
      <c r="C33" s="18" t="s">
        <v>85</v>
      </c>
      <c r="D33" s="19">
        <v>2</v>
      </c>
      <c r="E33" s="18" t="s">
        <v>85</v>
      </c>
      <c r="F33" s="19">
        <v>2</v>
      </c>
      <c r="G33" s="20" t="str">
        <f>IF(OR(D33="",F33=""),"chưa rõ",IF(F33&gt;D33,"FRACILE",IF(D33&gt;F33,"Vivoire","hoà")))</f>
        <v>hoà</v>
      </c>
      <c r="H33" s="16" t="s">
        <v>143</v>
      </c>
      <c r="I33" s="21" t="s">
        <v>155</v>
      </c>
    </row>
    <row r="34" ht="44" customHeight="1" spans="1:9" x14ac:dyDescent="0.25">
      <c r="A34" s="28" t="s">
        <v>15</v>
      </c>
      <c r="B34" s="29" t="s">
        <v>156</v>
      </c>
      <c r="C34" s="30" t="s">
        <v>157</v>
      </c>
      <c r="D34" s="31">
        <v>2</v>
      </c>
      <c r="E34" s="30" t="s">
        <v>158</v>
      </c>
      <c r="F34" s="31">
        <v>0</v>
      </c>
      <c r="G34" s="32" t="str">
        <f>IF(OR(D34="",F34=""),"chưa rõ",IF(F34&gt;D34,"FRACILE",IF(D34&gt;F34,"Vivoire","hoà")))</f>
        <v>Vivoire</v>
      </c>
      <c r="H34" s="28" t="s">
        <v>159</v>
      </c>
      <c r="I34" s="33" t="s">
        <v>160</v>
      </c>
    </row>
    <row r="35" ht="44" customHeight="1" spans="1:9" x14ac:dyDescent="0.25">
      <c r="A35" s="16" t="s">
        <v>15</v>
      </c>
      <c r="B35" s="17" t="s">
        <v>161</v>
      </c>
      <c r="C35" s="18" t="s">
        <v>85</v>
      </c>
      <c r="D35" s="19">
        <v>2</v>
      </c>
      <c r="E35" s="18" t="s">
        <v>162</v>
      </c>
      <c r="F35" s="19">
        <v>2</v>
      </c>
      <c r="G35" s="20" t="str">
        <f>IF(OR(D35="",F35=""),"chưa rõ",IF(F35&gt;D35,"FRACILE",IF(D35&gt;F35,"Vivoire","hoà")))</f>
        <v>hoà</v>
      </c>
      <c r="H35" s="16" t="s">
        <v>143</v>
      </c>
      <c r="I35" s="21" t="s">
        <v>163</v>
      </c>
    </row>
    <row r="36" ht="44" customHeight="1" spans="1:9" x14ac:dyDescent="0.25">
      <c r="A36" s="28" t="s">
        <v>15</v>
      </c>
      <c r="B36" s="29" t="s">
        <v>164</v>
      </c>
      <c r="C36" s="30" t="s">
        <v>85</v>
      </c>
      <c r="D36" s="31">
        <v>2</v>
      </c>
      <c r="E36" s="30" t="s">
        <v>108</v>
      </c>
      <c r="F36" s="31">
        <v>0</v>
      </c>
      <c r="G36" s="32" t="str">
        <f>IF(OR(D36="",F36=""),"chưa rõ",IF(F36&gt;D36,"FRACILE",IF(D36&gt;F36,"Vivoire","hoà")))</f>
        <v>Vivoire</v>
      </c>
      <c r="H36" s="28" t="s">
        <v>109</v>
      </c>
      <c r="I36" s="33" t="s">
        <v>112</v>
      </c>
    </row>
    <row r="37" ht="44" customHeight="1" spans="1:9" x14ac:dyDescent="0.25">
      <c r="A37" s="16" t="s">
        <v>15</v>
      </c>
      <c r="B37" s="17" t="s">
        <v>165</v>
      </c>
      <c r="C37" s="18" t="s">
        <v>166</v>
      </c>
      <c r="D37" s="19">
        <v>2</v>
      </c>
      <c r="E37" s="18" t="s">
        <v>167</v>
      </c>
      <c r="F37" s="19">
        <v>1</v>
      </c>
      <c r="G37" s="20" t="str">
        <f>IF(OR(D37="",F37=""),"chưa rõ",IF(F37&gt;D37,"FRACILE",IF(D37&gt;F37,"Vivoire","hoà")))</f>
        <v>Vivoire</v>
      </c>
      <c r="H37" s="16" t="s">
        <v>168</v>
      </c>
      <c r="I37" s="21" t="s">
        <v>169</v>
      </c>
    </row>
    <row r="38" ht="44" customHeight="1" spans="1:9" x14ac:dyDescent="0.25">
      <c r="A38" s="16" t="s">
        <v>15</v>
      </c>
      <c r="B38" s="17" t="s">
        <v>170</v>
      </c>
      <c r="C38" s="18" t="s">
        <v>103</v>
      </c>
      <c r="D38" s="19"/>
      <c r="E38" s="18" t="s">
        <v>171</v>
      </c>
      <c r="F38" s="19">
        <v>1</v>
      </c>
      <c r="G38" s="20" t="str">
        <f>IF(OR(D38="",F38=""),"chưa rõ",IF(F38&gt;D38,"FRACILE",IF(D38&gt;F38,"Vivoire","hoà")))</f>
        <v>chưa rõ</v>
      </c>
      <c r="H38" s="16" t="s">
        <v>41</v>
      </c>
      <c r="I38" s="21" t="s">
        <v>172</v>
      </c>
    </row>
    <row r="39" ht="44" customHeight="1" spans="1:9" x14ac:dyDescent="0.25">
      <c r="A39" s="16" t="s">
        <v>16</v>
      </c>
      <c r="B39" s="17" t="s">
        <v>173</v>
      </c>
      <c r="C39" s="18" t="s">
        <v>85</v>
      </c>
      <c r="D39" s="19">
        <v>2</v>
      </c>
      <c r="E39" s="18" t="s">
        <v>85</v>
      </c>
      <c r="F39" s="19">
        <v>2</v>
      </c>
      <c r="G39" s="20" t="str">
        <f>IF(OR(D39="",F39=""),"chưa rõ",IF(F39&gt;D39,"FRACILE",IF(D39&gt;F39,"Vivoire","hoà")))</f>
        <v>hoà</v>
      </c>
      <c r="H39" s="16" t="s">
        <v>41</v>
      </c>
      <c r="I39" s="21" t="s">
        <v>174</v>
      </c>
    </row>
    <row r="40" ht="44" customHeight="1" spans="1:9" x14ac:dyDescent="0.25">
      <c r="A40" s="28" t="s">
        <v>16</v>
      </c>
      <c r="B40" s="29" t="s">
        <v>175</v>
      </c>
      <c r="C40" s="30" t="s">
        <v>176</v>
      </c>
      <c r="D40" s="31">
        <v>2</v>
      </c>
      <c r="E40" s="30" t="s">
        <v>108</v>
      </c>
      <c r="F40" s="31">
        <v>0</v>
      </c>
      <c r="G40" s="32" t="str">
        <f>IF(OR(D40="",F40=""),"chưa rõ",IF(F40&gt;D40,"FRACILE",IF(D40&gt;F40,"Vivoire","hoà")))</f>
        <v>Vivoire</v>
      </c>
      <c r="H40" s="28" t="s">
        <v>109</v>
      </c>
      <c r="I40" s="33" t="s">
        <v>112</v>
      </c>
    </row>
    <row r="41" ht="44" customHeight="1" spans="1:9" x14ac:dyDescent="0.25">
      <c r="A41" s="28" t="s">
        <v>16</v>
      </c>
      <c r="B41" s="29" t="s">
        <v>177</v>
      </c>
      <c r="C41" s="30" t="s">
        <v>178</v>
      </c>
      <c r="D41" s="31">
        <v>2</v>
      </c>
      <c r="E41" s="30" t="s">
        <v>108</v>
      </c>
      <c r="F41" s="31">
        <v>0</v>
      </c>
      <c r="G41" s="32" t="str">
        <f>IF(OR(D41="",F41=""),"chưa rõ",IF(F41&gt;D41,"FRACILE",IF(D41&gt;F41,"Vivoire","hoà")))</f>
        <v>Vivoire</v>
      </c>
      <c r="H41" s="28" t="s">
        <v>109</v>
      </c>
      <c r="I41" s="33" t="s">
        <v>112</v>
      </c>
    </row>
    <row r="42" ht="44" customHeight="1" spans="1:9" x14ac:dyDescent="0.25">
      <c r="A42" s="16" t="s">
        <v>16</v>
      </c>
      <c r="B42" s="17" t="s">
        <v>179</v>
      </c>
      <c r="C42" s="18" t="s">
        <v>85</v>
      </c>
      <c r="D42" s="19">
        <v>2</v>
      </c>
      <c r="E42" s="18" t="s">
        <v>180</v>
      </c>
      <c r="F42" s="19">
        <v>1</v>
      </c>
      <c r="G42" s="20" t="str">
        <f>IF(OR(D42="",F42=""),"chưa rõ",IF(F42&gt;D42,"FRACILE",IF(D42&gt;F42,"Vivoire","hoà")))</f>
        <v>Vivoire</v>
      </c>
      <c r="H42" s="16" t="s">
        <v>41</v>
      </c>
      <c r="I42" s="21" t="s">
        <v>112</v>
      </c>
    </row>
    <row r="43" ht="44" customHeight="1" spans="1:9" x14ac:dyDescent="0.25">
      <c r="A43" s="22" t="s">
        <v>16</v>
      </c>
      <c r="B43" s="23" t="s">
        <v>181</v>
      </c>
      <c r="C43" s="24" t="s">
        <v>182</v>
      </c>
      <c r="D43" s="25">
        <v>1</v>
      </c>
      <c r="E43" s="24" t="s">
        <v>183</v>
      </c>
      <c r="F43" s="25">
        <v>2</v>
      </c>
      <c r="G43" s="26" t="str">
        <f>IF(OR(D43="",F43=""),"chưa rõ",IF(F43&gt;D43,"FRACILE",IF(D43&gt;F43,"Vivoire","hoà")))</f>
        <v>FRACILE</v>
      </c>
      <c r="H43" s="22" t="s">
        <v>41</v>
      </c>
      <c r="I43" s="27" t="s">
        <v>184</v>
      </c>
    </row>
    <row r="44" ht="44" customHeight="1" spans="1:9" x14ac:dyDescent="0.25">
      <c r="A44" s="22" t="s">
        <v>16</v>
      </c>
      <c r="B44" s="23" t="s">
        <v>185</v>
      </c>
      <c r="C44" s="24" t="s">
        <v>66</v>
      </c>
      <c r="D44" s="25"/>
      <c r="E44" s="24" t="s">
        <v>186</v>
      </c>
      <c r="F44" s="25">
        <v>2</v>
      </c>
      <c r="G44" s="26" t="str">
        <f>IF(OR(D44="",F44=""),"chưa rõ",IF(F44&gt;D44,"FRACILE",IF(D44&gt;F44,"Vivoire","hoà")))</f>
        <v>chưa rõ</v>
      </c>
      <c r="H44" s="22" t="s">
        <v>41</v>
      </c>
      <c r="I44" s="27" t="s">
        <v>187</v>
      </c>
    </row>
    <row r="45" ht="44" customHeight="1" spans="1:9" x14ac:dyDescent="0.25">
      <c r="A45" s="28" t="s">
        <v>17</v>
      </c>
      <c r="B45" s="29" t="s">
        <v>188</v>
      </c>
      <c r="C45" s="30" t="s">
        <v>85</v>
      </c>
      <c r="D45" s="31">
        <v>2</v>
      </c>
      <c r="E45" s="30" t="s">
        <v>108</v>
      </c>
      <c r="F45" s="31">
        <v>0</v>
      </c>
      <c r="G45" s="32" t="str">
        <f>IF(OR(D45="",F45=""),"chưa rõ",IF(F45&gt;D45,"FRACILE",IF(D45&gt;F45,"Vivoire","hoà")))</f>
        <v>Vivoire</v>
      </c>
      <c r="H45" s="28" t="s">
        <v>189</v>
      </c>
      <c r="I45" s="33" t="s">
        <v>190</v>
      </c>
    </row>
    <row r="46" ht="44" customHeight="1" spans="1:9" x14ac:dyDescent="0.25">
      <c r="A46" s="28" t="s">
        <v>17</v>
      </c>
      <c r="B46" s="29" t="s">
        <v>191</v>
      </c>
      <c r="C46" s="30" t="s">
        <v>85</v>
      </c>
      <c r="D46" s="31">
        <v>2</v>
      </c>
      <c r="E46" s="30" t="s">
        <v>108</v>
      </c>
      <c r="F46" s="31">
        <v>0</v>
      </c>
      <c r="G46" s="32" t="str">
        <f>IF(OR(D46="",F46=""),"chưa rõ",IF(F46&gt;D46,"FRACILE",IF(D46&gt;F46,"Vivoire","hoà")))</f>
        <v>Vivoire</v>
      </c>
      <c r="H46" s="28" t="s">
        <v>189</v>
      </c>
      <c r="I46" s="33" t="s">
        <v>112</v>
      </c>
    </row>
    <row r="47" ht="44" customHeight="1" spans="1:9" x14ac:dyDescent="0.25">
      <c r="A47" s="28" t="s">
        <v>17</v>
      </c>
      <c r="B47" s="29" t="s">
        <v>192</v>
      </c>
      <c r="C47" s="30" t="s">
        <v>85</v>
      </c>
      <c r="D47" s="31">
        <v>2</v>
      </c>
      <c r="E47" s="30" t="s">
        <v>108</v>
      </c>
      <c r="F47" s="31">
        <v>0</v>
      </c>
      <c r="G47" s="32" t="str">
        <f>IF(OR(D47="",F47=""),"chưa rõ",IF(F47&gt;D47,"FRACILE",IF(D47&gt;F47,"Vivoire","hoà")))</f>
        <v>Vivoire</v>
      </c>
      <c r="H47" s="28" t="s">
        <v>189</v>
      </c>
      <c r="I47" s="33" t="s">
        <v>193</v>
      </c>
    </row>
    <row r="48" ht="44" customHeight="1" spans="1:9" x14ac:dyDescent="0.25">
      <c r="A48" s="16" t="s">
        <v>17</v>
      </c>
      <c r="B48" s="17" t="s">
        <v>194</v>
      </c>
      <c r="C48" s="18" t="s">
        <v>195</v>
      </c>
      <c r="D48" s="19">
        <v>2</v>
      </c>
      <c r="E48" s="18" t="s">
        <v>196</v>
      </c>
      <c r="F48" s="19">
        <v>1</v>
      </c>
      <c r="G48" s="20" t="str">
        <f>IF(OR(D48="",F48=""),"chưa rõ",IF(F48&gt;D48,"FRACILE",IF(D48&gt;F48,"Vivoire","hoà")))</f>
        <v>Vivoire</v>
      </c>
      <c r="H48" s="16" t="s">
        <v>41</v>
      </c>
      <c r="I48" s="21" t="s">
        <v>197</v>
      </c>
    </row>
    <row r="49" ht="44" customHeight="1" spans="1:9" x14ac:dyDescent="0.25">
      <c r="A49" s="22" t="s">
        <v>17</v>
      </c>
      <c r="B49" s="23" t="s">
        <v>198</v>
      </c>
      <c r="C49" s="24" t="s">
        <v>199</v>
      </c>
      <c r="D49" s="25">
        <v>1</v>
      </c>
      <c r="E49" s="24" t="s">
        <v>200</v>
      </c>
      <c r="F49" s="25">
        <v>2</v>
      </c>
      <c r="G49" s="26" t="str">
        <f>IF(OR(D49="",F49=""),"chưa rõ",IF(F49&gt;D49,"FRACILE",IF(D49&gt;F49,"Vivoire","hoà")))</f>
        <v>FRACILE</v>
      </c>
      <c r="H49" s="22" t="s">
        <v>41</v>
      </c>
      <c r="I49" s="27" t="s">
        <v>201</v>
      </c>
    </row>
    <row r="50" ht="44" customHeight="1" spans="1:9" x14ac:dyDescent="0.25">
      <c r="A50" s="22" t="s">
        <v>17</v>
      </c>
      <c r="B50" s="23" t="s">
        <v>202</v>
      </c>
      <c r="C50" s="24" t="s">
        <v>78</v>
      </c>
      <c r="D50" s="25"/>
      <c r="E50" s="24" t="s">
        <v>203</v>
      </c>
      <c r="F50" s="25">
        <v>2</v>
      </c>
      <c r="G50" s="26" t="str">
        <f>IF(OR(D50="",F50=""),"chưa rõ",IF(F50&gt;D50,"FRACILE",IF(D50&gt;F50,"Vivoire","hoà")))</f>
        <v>chưa rõ</v>
      </c>
      <c r="H50" s="22" t="s">
        <v>41</v>
      </c>
      <c r="I50" s="27" t="s">
        <v>204</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3"/>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4" t="s">
        <v>205</v>
      </c>
    </row>
    <row r="2" spans="1:5" x14ac:dyDescent="0.25">
      <c r="A2" s="12" t="s">
        <v>206</v>
      </c>
      <c r="B2" s="12"/>
      <c r="C2" s="12"/>
      <c r="D2" s="12"/>
      <c r="E2" s="12"/>
    </row>
    <row r="3" spans="1:5" x14ac:dyDescent="0.25">
      <c r="A3" s="12"/>
      <c r="B3" s="12"/>
      <c r="C3" s="12"/>
      <c r="D3" s="12"/>
      <c r="E3" s="12"/>
    </row>
    <row r="5" ht="34" customHeight="1" spans="1:5" x14ac:dyDescent="0.25">
      <c r="A5" s="3" t="s">
        <v>207</v>
      </c>
      <c r="B5" s="3" t="s">
        <v>208</v>
      </c>
      <c r="C5" s="3" t="s">
        <v>209</v>
      </c>
      <c r="D5" s="3" t="s">
        <v>210</v>
      </c>
      <c r="E5" s="3" t="s">
        <v>211</v>
      </c>
    </row>
    <row r="6" ht="42" customHeight="1" spans="1:5" x14ac:dyDescent="0.25">
      <c r="A6" s="18" t="s">
        <v>212</v>
      </c>
      <c r="B6" s="18" t="s">
        <v>213</v>
      </c>
      <c r="C6" s="16" t="s">
        <v>214</v>
      </c>
      <c r="D6" s="18" t="s">
        <v>41</v>
      </c>
      <c r="E6" s="18" t="s">
        <v>215</v>
      </c>
    </row>
    <row r="7" ht="42" customHeight="1" spans="1:5" x14ac:dyDescent="0.25">
      <c r="A7" s="18" t="s">
        <v>216</v>
      </c>
      <c r="B7" s="18" t="s">
        <v>217</v>
      </c>
      <c r="C7" s="16" t="s">
        <v>214</v>
      </c>
      <c r="D7" s="18" t="s">
        <v>41</v>
      </c>
      <c r="E7" s="18" t="s">
        <v>218</v>
      </c>
    </row>
    <row r="8" ht="42" customHeight="1" spans="1:5" x14ac:dyDescent="0.25">
      <c r="A8" s="18" t="s">
        <v>219</v>
      </c>
      <c r="B8" s="18" t="s">
        <v>220</v>
      </c>
      <c r="C8" s="16" t="s">
        <v>214</v>
      </c>
      <c r="D8" s="18" t="s">
        <v>41</v>
      </c>
      <c r="E8" s="18" t="s">
        <v>221</v>
      </c>
    </row>
    <row r="9" ht="42" customHeight="1" spans="1:5" x14ac:dyDescent="0.25">
      <c r="A9" s="18" t="s">
        <v>148</v>
      </c>
      <c r="B9" s="18" t="s">
        <v>222</v>
      </c>
      <c r="C9" s="16" t="s">
        <v>214</v>
      </c>
      <c r="D9" s="18" t="s">
        <v>41</v>
      </c>
      <c r="E9" s="18" t="s">
        <v>223</v>
      </c>
    </row>
    <row r="10" ht="42" customHeight="1" spans="1:5" x14ac:dyDescent="0.25">
      <c r="A10" s="18" t="s">
        <v>224</v>
      </c>
      <c r="B10" s="18" t="s">
        <v>225</v>
      </c>
      <c r="C10" s="16" t="s">
        <v>214</v>
      </c>
      <c r="D10" s="18" t="s">
        <v>41</v>
      </c>
      <c r="E10" s="18" t="s">
        <v>226</v>
      </c>
    </row>
    <row r="11" ht="42" customHeight="1" spans="1:5" x14ac:dyDescent="0.25">
      <c r="A11" s="18" t="s">
        <v>227</v>
      </c>
      <c r="B11" s="18" t="s">
        <v>228</v>
      </c>
      <c r="C11" s="16" t="s">
        <v>214</v>
      </c>
      <c r="D11" s="18" t="s">
        <v>41</v>
      </c>
      <c r="E11" s="18" t="s">
        <v>229</v>
      </c>
    </row>
    <row r="12" ht="42" customHeight="1" spans="1:5" x14ac:dyDescent="0.25">
      <c r="A12" s="18" t="s">
        <v>230</v>
      </c>
      <c r="B12" s="18" t="s">
        <v>231</v>
      </c>
      <c r="C12" s="16" t="s">
        <v>214</v>
      </c>
      <c r="D12" s="18" t="s">
        <v>232</v>
      </c>
      <c r="E12" s="18" t="s">
        <v>233</v>
      </c>
    </row>
    <row r="13" ht="42" customHeight="1" spans="1:5" x14ac:dyDescent="0.25">
      <c r="A13" s="18" t="s">
        <v>234</v>
      </c>
      <c r="B13" s="18" t="s">
        <v>235</v>
      </c>
      <c r="C13" s="16" t="s">
        <v>214</v>
      </c>
      <c r="D13" s="18" t="s">
        <v>41</v>
      </c>
      <c r="E13" s="18" t="s">
        <v>112</v>
      </c>
    </row>
    <row r="14" ht="42" customHeight="1" spans="1:5" x14ac:dyDescent="0.25">
      <c r="A14" s="18" t="s">
        <v>236</v>
      </c>
      <c r="B14" s="18" t="s">
        <v>237</v>
      </c>
      <c r="C14" s="16" t="s">
        <v>214</v>
      </c>
      <c r="D14" s="18" t="s">
        <v>238</v>
      </c>
      <c r="E14" s="18" t="s">
        <v>239</v>
      </c>
    </row>
    <row r="15" ht="42" customHeight="1" spans="1:5" x14ac:dyDescent="0.25">
      <c r="A15" s="35" t="s">
        <v>240</v>
      </c>
      <c r="B15" s="35" t="s">
        <v>241</v>
      </c>
      <c r="C15" s="36" t="s">
        <v>242</v>
      </c>
      <c r="D15" s="35" t="s">
        <v>41</v>
      </c>
      <c r="E15" s="35" t="s">
        <v>243</v>
      </c>
    </row>
    <row r="16" ht="42" customHeight="1" spans="1:5" x14ac:dyDescent="0.25">
      <c r="A16" s="30" t="s">
        <v>244</v>
      </c>
      <c r="B16" s="30" t="s">
        <v>245</v>
      </c>
      <c r="C16" s="28" t="s">
        <v>246</v>
      </c>
      <c r="D16" s="30" t="s">
        <v>247</v>
      </c>
      <c r="E16" s="30" t="s">
        <v>248</v>
      </c>
    </row>
    <row r="19" spans="1:1" x14ac:dyDescent="0.25">
      <c r="A19" s="37" t="s">
        <v>249</v>
      </c>
    </row>
    <row r="20" ht="30" customHeight="1" spans="1:5" x14ac:dyDescent="0.25">
      <c r="A20" s="38" t="s">
        <v>250</v>
      </c>
      <c r="B20" s="38"/>
      <c r="C20" s="38"/>
      <c r="D20" s="38"/>
      <c r="E20" s="38"/>
    </row>
    <row r="21" spans="1:5" x14ac:dyDescent="0.25">
      <c r="A21" s="38"/>
      <c r="B21" s="38"/>
      <c r="C21" s="38"/>
      <c r="D21" s="38"/>
      <c r="E21" s="38"/>
    </row>
    <row r="22" spans="1:5" x14ac:dyDescent="0.25">
      <c r="A22" s="38"/>
      <c r="B22" s="38"/>
      <c r="C22" s="38"/>
      <c r="D22" s="38"/>
      <c r="E22" s="38"/>
    </row>
    <row r="23" spans="1:5" x14ac:dyDescent="0.25">
      <c r="A23" s="38"/>
      <c r="B23" s="38"/>
      <c r="C23" s="38"/>
      <c r="D23" s="38"/>
      <c r="E23" s="38"/>
    </row>
  </sheetData>
  <mergeCells count="2">
    <mergeCell ref="A2:E3"/>
    <mergeCell ref="A20:E23"/>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7"/>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4" t="s">
        <v>251</v>
      </c>
    </row>
    <row r="3" ht="34" customHeight="1" spans="1:4" x14ac:dyDescent="0.25">
      <c r="A3" s="3" t="s">
        <v>252</v>
      </c>
      <c r="B3" s="3" t="s">
        <v>253</v>
      </c>
      <c r="C3" s="3" t="s">
        <v>254</v>
      </c>
      <c r="D3" s="3" t="s">
        <v>255</v>
      </c>
    </row>
    <row r="4" spans="1:4" x14ac:dyDescent="0.25">
      <c r="A4" s="39" t="s">
        <v>256</v>
      </c>
      <c r="B4" s="40">
        <v>34</v>
      </c>
      <c r="C4" s="41" t="s">
        <v>257</v>
      </c>
      <c r="D4" s="42" t="s">
        <v>258</v>
      </c>
    </row>
    <row r="5" spans="1:4" x14ac:dyDescent="0.25">
      <c r="A5" s="39" t="s">
        <v>259</v>
      </c>
      <c r="B5" s="40">
        <v>373</v>
      </c>
      <c r="C5" s="41" t="s">
        <v>260</v>
      </c>
      <c r="D5" s="42" t="s">
        <v>258</v>
      </c>
    </row>
    <row r="6" spans="1:4" x14ac:dyDescent="0.25">
      <c r="A6" s="39" t="s">
        <v>261</v>
      </c>
      <c r="B6" s="40">
        <v>207</v>
      </c>
      <c r="C6" s="41" t="s">
        <v>262</v>
      </c>
      <c r="D6" s="42" t="s">
        <v>258</v>
      </c>
    </row>
    <row r="7" spans="1:4" x14ac:dyDescent="0.25">
      <c r="A7" s="39" t="s">
        <v>263</v>
      </c>
      <c r="B7" s="40">
        <v>0</v>
      </c>
      <c r="C7" s="41" t="s">
        <v>264</v>
      </c>
      <c r="D7" s="42" t="s">
        <v>258</v>
      </c>
    </row>
    <row r="8" spans="1:4" x14ac:dyDescent="0.25">
      <c r="A8" s="39" t="s">
        <v>265</v>
      </c>
      <c r="B8" s="40">
        <v>2</v>
      </c>
      <c r="C8" s="41" t="s">
        <v>266</v>
      </c>
      <c r="D8" s="42" t="s">
        <v>258</v>
      </c>
    </row>
    <row r="9" spans="1:4" x14ac:dyDescent="0.25">
      <c r="A9" s="39" t="s">
        <v>267</v>
      </c>
      <c r="B9" s="40">
        <v>37</v>
      </c>
      <c r="C9" s="41" t="s">
        <v>268</v>
      </c>
      <c r="D9" s="42" t="s">
        <v>258</v>
      </c>
    </row>
    <row r="10" spans="1:4" x14ac:dyDescent="0.25">
      <c r="A10" s="39" t="s">
        <v>269</v>
      </c>
      <c r="B10" s="40">
        <v>156</v>
      </c>
      <c r="C10" s="41" t="s">
        <v>270</v>
      </c>
      <c r="D10" s="42" t="s">
        <v>258</v>
      </c>
    </row>
    <row r="11" spans="1:4" x14ac:dyDescent="0.25">
      <c r="A11" s="39" t="s">
        <v>271</v>
      </c>
      <c r="B11" s="40">
        <v>7</v>
      </c>
      <c r="C11" s="41" t="s">
        <v>272</v>
      </c>
      <c r="D11" s="42" t="s">
        <v>258</v>
      </c>
    </row>
    <row r="12" spans="1:4" x14ac:dyDescent="0.25">
      <c r="A12" s="39" t="s">
        <v>273</v>
      </c>
      <c r="B12" s="40">
        <v>10</v>
      </c>
      <c r="C12" s="41" t="s">
        <v>274</v>
      </c>
      <c r="D12" s="42" t="s">
        <v>258</v>
      </c>
    </row>
    <row r="13" spans="1:4" x14ac:dyDescent="0.25">
      <c r="A13" s="39" t="s">
        <v>275</v>
      </c>
      <c r="B13" s="40">
        <v>0</v>
      </c>
      <c r="C13" s="41" t="s">
        <v>276</v>
      </c>
      <c r="D13" s="42" t="s">
        <v>258</v>
      </c>
    </row>
    <row r="15" spans="1:3" x14ac:dyDescent="0.25">
      <c r="A15" s="13" t="s">
        <v>277</v>
      </c>
      <c r="B15" s="43">
        <f>B6/B5</f>
        <v>0.5549597855227882</v>
      </c>
      <c r="C15" s="44" t="s">
        <v>278</v>
      </c>
    </row>
    <row r="16" spans="1:3" x14ac:dyDescent="0.25">
      <c r="A16" s="13" t="s">
        <v>279</v>
      </c>
      <c r="B16" s="45">
        <f>B5-B6</f>
        <v>166</v>
      </c>
      <c r="C16" s="44" t="s">
        <v>280</v>
      </c>
    </row>
    <row r="19" spans="1:1" x14ac:dyDescent="0.25">
      <c r="A19" s="37" t="s">
        <v>281</v>
      </c>
    </row>
    <row r="20" ht="34" customHeight="1" spans="1:4" x14ac:dyDescent="0.25">
      <c r="A20" s="3" t="s">
        <v>252</v>
      </c>
      <c r="B20" s="3" t="s">
        <v>253</v>
      </c>
      <c r="C20" s="3" t="s">
        <v>282</v>
      </c>
      <c r="D20" s="3" t="s">
        <v>283</v>
      </c>
    </row>
    <row r="21" spans="1:4" x14ac:dyDescent="0.25">
      <c r="A21" s="16" t="s">
        <v>106</v>
      </c>
      <c r="B21" s="18" t="s">
        <v>284</v>
      </c>
      <c r="C21" s="18" t="s">
        <v>285</v>
      </c>
      <c r="D21" s="18" t="s">
        <v>286</v>
      </c>
    </row>
    <row r="22" spans="1:4" x14ac:dyDescent="0.25">
      <c r="A22" s="16" t="s">
        <v>287</v>
      </c>
      <c r="B22" s="18" t="s">
        <v>288</v>
      </c>
      <c r="C22" s="18" t="s">
        <v>289</v>
      </c>
      <c r="D22" s="18" t="s">
        <v>286</v>
      </c>
    </row>
    <row r="23" spans="1:4" x14ac:dyDescent="0.25">
      <c r="A23" s="16" t="s">
        <v>290</v>
      </c>
      <c r="B23" s="18" t="s">
        <v>288</v>
      </c>
      <c r="C23" s="18" t="s">
        <v>289</v>
      </c>
      <c r="D23" s="18" t="s">
        <v>286</v>
      </c>
    </row>
    <row r="24" spans="1:4" x14ac:dyDescent="0.25">
      <c r="A24" s="16" t="s">
        <v>291</v>
      </c>
      <c r="B24" s="18" t="s">
        <v>292</v>
      </c>
      <c r="C24" s="18" t="s">
        <v>289</v>
      </c>
      <c r="D24" s="18" t="s">
        <v>286</v>
      </c>
    </row>
    <row r="25" spans="1:4" x14ac:dyDescent="0.25">
      <c r="A25" s="36" t="s">
        <v>293</v>
      </c>
      <c r="B25" s="35" t="s">
        <v>294</v>
      </c>
      <c r="C25" s="35" t="s">
        <v>295</v>
      </c>
      <c r="D25" s="35" t="s">
        <v>296</v>
      </c>
    </row>
    <row r="26" spans="1:4" x14ac:dyDescent="0.25">
      <c r="A26" s="36" t="s">
        <v>297</v>
      </c>
      <c r="B26" s="35" t="s">
        <v>298</v>
      </c>
      <c r="C26" s="35" t="s">
        <v>299</v>
      </c>
      <c r="D26" s="35" t="s">
        <v>296</v>
      </c>
    </row>
    <row r="27" spans="1:4" x14ac:dyDescent="0.25">
      <c r="A27" s="16" t="s">
        <v>300</v>
      </c>
      <c r="B27" s="18" t="s">
        <v>301</v>
      </c>
      <c r="C27" s="18" t="s">
        <v>302</v>
      </c>
      <c r="D27" s="18" t="s">
        <v>303</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1"/>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4" t="s">
        <v>304</v>
      </c>
    </row>
    <row r="3" ht="34" customHeight="1" spans="1:5" x14ac:dyDescent="0.25">
      <c r="A3" s="3" t="s">
        <v>305</v>
      </c>
      <c r="B3" s="3" t="s">
        <v>306</v>
      </c>
      <c r="C3" s="3" t="s">
        <v>307</v>
      </c>
      <c r="D3" s="3" t="s">
        <v>308</v>
      </c>
      <c r="E3" s="3" t="s">
        <v>309</v>
      </c>
    </row>
    <row r="4" ht="62" customHeight="1" spans="1:5" x14ac:dyDescent="0.25">
      <c r="A4" s="19">
        <v>1</v>
      </c>
      <c r="B4" s="16" t="s">
        <v>310</v>
      </c>
      <c r="C4" s="18" t="s">
        <v>311</v>
      </c>
      <c r="D4" s="18" t="s">
        <v>312</v>
      </c>
      <c r="E4" s="18" t="s">
        <v>313</v>
      </c>
    </row>
    <row r="5" ht="62" customHeight="1" spans="1:5" x14ac:dyDescent="0.25">
      <c r="A5" s="19">
        <v>2</v>
      </c>
      <c r="B5" s="16" t="s">
        <v>314</v>
      </c>
      <c r="C5" s="18" t="s">
        <v>315</v>
      </c>
      <c r="D5" s="18" t="s">
        <v>316</v>
      </c>
      <c r="E5" s="18" t="s">
        <v>313</v>
      </c>
    </row>
    <row r="6" ht="62" customHeight="1" spans="1:5" x14ac:dyDescent="0.25">
      <c r="A6" s="19">
        <v>3</v>
      </c>
      <c r="B6" s="16" t="s">
        <v>317</v>
      </c>
      <c r="C6" s="18" t="s">
        <v>318</v>
      </c>
      <c r="D6" s="18" t="s">
        <v>319</v>
      </c>
      <c r="E6" s="18" t="s">
        <v>320</v>
      </c>
    </row>
    <row r="7" ht="62" customHeight="1" spans="1:5" x14ac:dyDescent="0.25">
      <c r="A7" s="19">
        <v>4</v>
      </c>
      <c r="B7" s="16" t="s">
        <v>321</v>
      </c>
      <c r="C7" s="18" t="s">
        <v>322</v>
      </c>
      <c r="D7" s="18" t="s">
        <v>323</v>
      </c>
      <c r="E7" s="18" t="s">
        <v>324</v>
      </c>
    </row>
    <row r="8" ht="62" customHeight="1" spans="1:5" x14ac:dyDescent="0.25">
      <c r="A8" s="19">
        <v>5</v>
      </c>
      <c r="B8" s="16" t="s">
        <v>325</v>
      </c>
      <c r="C8" s="18" t="s">
        <v>326</v>
      </c>
      <c r="D8" s="18" t="s">
        <v>327</v>
      </c>
      <c r="E8" s="18" t="s">
        <v>328</v>
      </c>
    </row>
    <row r="9" ht="62" customHeight="1" spans="1:5" x14ac:dyDescent="0.25">
      <c r="A9" s="19">
        <v>6</v>
      </c>
      <c r="B9" s="16" t="s">
        <v>329</v>
      </c>
      <c r="C9" s="18" t="s">
        <v>330</v>
      </c>
      <c r="D9" s="18" t="s">
        <v>331</v>
      </c>
      <c r="E9" s="18" t="s">
        <v>332</v>
      </c>
    </row>
    <row r="10" ht="62" customHeight="1" spans="1:5" x14ac:dyDescent="0.25">
      <c r="A10" s="19">
        <v>7</v>
      </c>
      <c r="B10" s="16" t="s">
        <v>333</v>
      </c>
      <c r="C10" s="18" t="s">
        <v>334</v>
      </c>
      <c r="D10" s="18" t="s">
        <v>335</v>
      </c>
      <c r="E10" s="18" t="s">
        <v>336</v>
      </c>
    </row>
    <row r="11" ht="62" customHeight="1" spans="1:5" x14ac:dyDescent="0.25">
      <c r="A11" s="19">
        <v>8</v>
      </c>
      <c r="B11" s="16" t="s">
        <v>337</v>
      </c>
      <c r="C11" s="18" t="s">
        <v>338</v>
      </c>
      <c r="D11" s="18" t="s">
        <v>339</v>
      </c>
      <c r="E11" s="18" t="s">
        <v>340</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2026-09-09T09:59:58Z</dcterms:modified>
</cp:coreProperties>
</file>