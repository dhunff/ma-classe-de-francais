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<sst xmlns="http://schemas.openxmlformats.org/spreadsheetml/2006/main" count="809" uniqueCount="578">
  <si>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</si>
  <si>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</si>
  <si>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</si>
  <si>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</si>
  <si>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</si>
  <si>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</si>
  <si>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</si>
  <si>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</si>
  <si>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</si>
  <si>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</si>
  <si>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</si>
  <si>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</si>
  <si>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</si>
  <si>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</si>
  <si>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</si>
  <si>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</si>
  <si>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</si>
  <si>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</si>
  <si>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</si>
  <si>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</si>
  <si>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</si>
  <si>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</si>
  <si>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</si>
  <si>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</si>
  <si>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</si>
  <si>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</si>
  <si>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</si>
  <si>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</si>
  <si>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</si>
  <si>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</si>
  <si>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</si>
  <si>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</si>
  <si>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</si>
  <si>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</si>
  <si>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</si>
  <si>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</si>
  <si>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</si>
  <si>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</si>
  <si>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</si>
  <si>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</si>
  <si>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</si>
  <si>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</si>
  <si>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</si>
  <si>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</si>
  <si>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</si>
  <si>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</si>
  <si>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</si>
  <si>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</si>
  <si>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</si>
  <si>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</si>
  <si>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</si>
  <si>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</si>
  <si>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</si>
  <si>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</si>
  <si>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</si>
  <si>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</si>
  <si>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</si>
  <si>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</si>
  <si>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</si>
  <si>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</si>
  <si>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</si>
  <si>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</si>
  <si>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</si>
  <si>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</si>
  <si>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</si>
  <si>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</si>
  <si>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</si>
  <si>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</si>
  <si>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</si>
  <si>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</si>
  <si>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</si>
  <si>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</si>
  <si>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</si>
  <si>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</si>
  <si>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</si>
  <si>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10/10 tối</t>
  </si>
  <si>
    <t>Thêm mục « Nghe &amp; Nói »: 200 câu chép chính tả + 200 câu luyện phát âm (A1–B2, 50 mỗi trình độ), AI chép lại bản đọc và so từng từ.</t>
  </si>
  <si>
    <t>11–13/10</t>
  </si>
  <si>
    <t>Tách câu nghe điền từ khỏi chép chính tả (200 câu mới). Bàn phím ký tự Pháp cho mọi ô viết. Theo dõi học sinh làm lại (số liệu thật, Nhắn tin, Giao bài, Chi tiết). Đề B2 Đề 2 theo đề mẫu, đọc và nói dùng bài báo thật. Giao diện thi như tờ đề thật. Phần nói được chấm (tự chấm theo grille chính thức + AI gợi ý, /100 hoặc /75), có grille C1, bốc thăm đề và thời gian chuẩn bị. Đồng bộ thời lượng hai đề A2.</t>
  </si>
  <si>
    <t>13/10 — việc cần làm đã xong (đo database)</t>
  </si>
  <si>
    <t>AI chấm phần viết thi thử A1: 4 bài đã có điểm. Chuyển khoản VIP: 8 giao dịch (mới nhất 11/10). Nghe thử đề A1 và A2 Đề 2 trên giao diện thi: 32 lượt phần nghe đã nộp. Đối chiếu đề A1/A2 với đề mẫu chính thức: chủ dự án xác nhận đã làm xong. Quyết định KHÔNG theo đuổi từ điển, podcast/video và lớp video: bỏ ba mục đó khỏi bảng so sánh. Không theo đuổi app trên App Store / Google Play: bỏ các mục iOS, Android, đánh giá trên kho ứng dụng. Thêm đóng băng chuỗi ngày (5 lần/tháng, có bảng lịch sử).</t>
  </si>
  <si>
    <t>13/10 tối</t>
  </si>
  <si>
    <t>Thanh bên chia nhóm (Học tập / Luyện thi / Của tôi), biểu tượng trong ô, ô trợ giúp. Trang Tài khoản làm lại (ảnh bìa, thanh hoàn thiện hồ sơ, khối có biểu tượng, thanh lưu dính đáy). Hộp hoàn thiện hồ sơ chỉ hỏi tài khoản mới. Thư viện Flashcard hết loang màu cam. Bài thi thử tách kho riêng khỏi thư viện; phần nghe thi thử bỏ ảnh và giữ bài đang nghe khi chuyển bài.</t>
  </si>
  <si>
    <t>13–14/10</t>
  </si>
  <si>
    <t>Lộ trình: chủ đề thành cột dọc, cuộn được bằng con lăn. Sửa lỗi màn Luyện tập (biến dùng trước khi khai báo). Màn chờ thi thử gọn lại. Thách đấu thêm 14 chủ đề từ Lộ trình. 5 đề thi thử mới, đọc B1–C1 từ báo thật, công bố 14/10. Giấy nháp, bút tô sáng, chặn dán vào bài viết.</t>
  </si>
  <si>
    <t>14/10 tối</t>
  </si>
  <si>
    <t>Sửa lỗi 5 đề mới không có bốc thăm đề nói (trường bocTham bị bỏ khi lưu). Phần nói được AI chấm tự động như phần viết, vẫn tự chấm lại được. Ô nhập trên tờ đề luôn chữ đen ở nền tối.</t>
  </si>
  <si>
    <t>14/10 đêm</t>
  </si>
  <si>
    <t>Màn chờ thi thử báo trước có thể nộp từng phần sớm. Mã QR thanh toán căn giữa (lệch vì preflight tắt). Rà lại quyền lợi gói VIP từ mã nguồn.</t>
  </si>
  <si>
    <t>14/10 khuya</t>
  </si>
  <si>
    <t>Quyền lợi VIP mới: đề thi thử ngoài Đề 1 cần VIP, bài viết mẫu AI, báo cáo tiến bộ tuần, ôn lại câu sai (trang « Tiến bộ VIP »). Lịch: đủ 24 giờ, bộ chọn giờ mới, đặt lịch gắn với Lộ trình / Luyện tập / Flashcard / Thi thử / Nghe &amp; Nói / Thách đấu.</t>
  </si>
  <si>
    <t>15/10</t>
  </si>
  <si>
    <t>Đề DELF B2 theo format mới (3 đề), điểm riêng từng câu; Nghe &amp; Nói C1 khó hơn, đọc nhanh; 9 bộ Flashcard Nghe/Viết/Nói; đề xuất bài theo trình độ + mục tiêu; khung chào mừng mới; nhạc nền EDM cho Lộ trình; khoá chồng tiếng phần nghe; ký tự đặc biệt trong giấy nháp; rà bảo mật 17 nhóm và vá lỗ hổng; trần 100 lượt AI/ngày cho VIP.</t>
  </si>
  <si>
    <t>16/10</t>
  </si>
  <si>
    <t>Mục « Học ngữ pháp »: 76 bài A0 đến C1, chia phần có mục lục, giải thích sư phạm, 1 194 câu luyện 5 dạng; Flashcard làm lại thẻ sai; Thách đấu xem lại và làm lại câu sai; gỡ Sổ tay.</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</si>
  <si>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</si>
  <si>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</si>
  <si>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</si>
  <si>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</si>
  <si>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</si>
  <si>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</si>
  <si>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</si>
  <si>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</si>
  <si>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</si>
  <si>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</si>
  <si>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</si>
  <si>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</si>
  <si>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</si>
  <si>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</si>
  <si>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</si>
  <si>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</si>
  <si>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CÓ (chủ dự án xác nhận 14/10)</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</si>
  <si>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</si>
  <si>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</si>
  <si>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</si>
  <si>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</si>
  <si>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</si>
  <si>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</si>
  <si>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</si>
  <si>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</si>
  <si>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</si>
  <si>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</si>
  <si>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</si>
  <si>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</si>
  <si>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</si>
  <si>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</si>
  <si>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</si>
  <si>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</si>
  <si>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</si>
  <si>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</si>
  <si>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</si>
  <si>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</si>
  <si>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</si>
  <si>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</si>
  <si>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704/881 câu có lời giải. Thêm 09/10: đủ 111/111 bài luyện tập có « Từ vựng » + « Giải thích » (AI soạn, không lộ đáp án, không dấu gạch dài); « Đề và đáp án » mở cho học sinh SAU khi đã nộp bài</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</si>
  <si>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</si>
  <si>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</si>
  <si>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</si>
  <si>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</si>
  <si>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</si>
  <si>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</si>
  <si>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</si>
  <si>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Đề thi thử DELF A1–B2 « đúng cấu trúc » (FAQ 10/10); viết có AI chấm, nói luyện riêng qua bài phát âm. Không thấy DALF C1/C2</t>
  </si>
  <si>
    <t>13 đề đã phát hành (A1 ×2 · A2 ×3 · B1 ×3 · B2 ×3 · C1 ×2), đủ 4 phần. B2 Đề 2 (11/10) soạn theo khuôn ba đề mẫu « tout public » chủ dự án gửi, phần đọc và nói dùng ba bài báo The Conversation THẬT (rút gọn, ghi « D'après »). Từ 12–13/10: phần nói ĐƯỢC CHẤM /25 (thi nói → tổng /100, bỏ nói → /75, ngưỡng đạt tỉ lệ 50 %), bốc thăm đề nói + thời gian chuẩn bị như thi thật, giao diện trình bày như tờ đề thật, câu Vrai/Faux có ô chép câu chứng minh. Từ 13/10: bài thi thử ở KHO RIÊNG (58 bài), không lẫn vào thư viện luyện tập (68 bài; 6 bài thư viện gốc từng dùng trong đề được nhân bản lại cho thư viện); phần nghe không hiện ảnh; chuyển bài trong phần nghe không làm mất bài đang nghe. 14/10: thêm 5 đề (A1 Đề 2, A2 Đề 3, B1 Đề 3, B2 Đề 3, C1 Đề 2), bài đọc B1–C1 và tài liệu nói B2–C1 lấy từ bài báo thật The Conversation; giấy nháp cho Nghe/Đọc/Viết; bút tô sáng trên bài đọc. 15/10: 3 đề DELF B2 làm lại theo FORMAT MỚI (khuôn đề TP68): Nghe 3 bài (9 + 9 + 7 đ, bài 3 gồm ba tài liệu ngắn nghe 1 lượt, tiêu đề DOCUMENT 1/2/3), Đọc 3 bài (9 + 9 + 7 đ, bài 3 ghép ý kiến diễn đàn), điểm riêng từng câu 0,5 đến 2 đ; đề cũ ẩn, không xoá</t>
  </si>
  <si>
    <t>Đang chạy — phần nói chấm điểm và bốc thăm chưa ai thi thật</t>
  </si>
  <si>
    <t>ExamMode.jsx, BocThamNoi.jsx, examPaper.js (nguongTong); migration 135–137; check:exam 118 ca; migration 140 (store 'exam'), tab « Bài thi thử » cho giáo viên; lô 18 (scripts/nhap/lo18_*), GiayNhap.jsx, VanBanToSang.jsx</t>
  </si>
  <si>
    <t>Nghe hiểu giới hạn 2 lượt phát</t>
  </si>
  <si>
    <t>Đếm ở MÁY CHỦ. Từ 08/10 MỌI đề thi thử (21 bài nghe) dùng « nghe kiểu phòng thi »: 30 s đọc câu hỏi, lượt 1, nghỉ 30 s, lượt 2, 30 s hoàn thành, phát một lần; luyện tập vẫn phát file gốc. 15/10: chỉ MỘT bài nghe phát tại một thời điểm (hết chồng tiếng khi chuyển bài); nút phát kiểu tờ đề có thanh tiến trình và thời gian</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</si>
  <si>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</si>
  <si>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</si>
  <si>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</si>
  <si>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</si>
  <si>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</si>
  <si>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</si>
  <si>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</si>
  <si>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</si>
  <si>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</si>
  <si>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</si>
  <si>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</si>
  <si>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</si>
  <si>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</si>
  <si>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</si>
  <si>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cho luyện kỹ năng + ôn thi cấp 3; thi thử chỉ A1–B2</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</si>
  <si>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</si>
  <si>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</si>
  <si>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</si>
  <si>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</si>
  <si>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+ 400 bài luyện phát âm (công bố 10/10)</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</si>
  <si>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</si>
  <si>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</si>
  <si>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</si>
  <si>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</si>
  <si>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</si>
  <si>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</si>
  <si>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</si>
  <si>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</si>
  <si>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</si>
  <si>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</si>
  <si>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</si>
  <si>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</si>
  <si>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</si>
  <si>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</si>
  <si>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</si>
  <si>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</si>
  <si>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 15/10: cuối buổi tổng kết thẻ sai, nút « Làm lại thẻ sai » / luyện lại cả bộ (không đổi lịch ôn)</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</si>
  <si>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</si>
  <si>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</si>
  <si>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</si>
  <si>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</si>
  <si>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 15/10: thêm 9 bộ, 108 thẻ (Nghe, Viết, Nói mỗi kỹ năng 6 bộ)</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</si>
  <si>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</si>
  <si>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</si>
  <si>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</si>
  <si>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</si>
  <si>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</si>
  <si>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</si>
  <si>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</si>
  <si>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</si>
  <si>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</si>
  <si>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</si>
  <si>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</si>
  <si>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</si>
  <si>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</si>
  <si>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</si>
  <si>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</si>
  <si>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 15/10: sau trận xem lại từng câu đúng/sai và làm lại câu sai (luyện tập, không đổi kết quả trận)</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</si>
  <si>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</si>
  <si>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</si>
  <si>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</si>
  <si>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</si>
  <si>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</si>
  <si>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</si>
  <si>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</si>
  <si>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</si>
  <si>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</si>
  <si>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</si>
  <si>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</si>
  <si>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</si>
  <si>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</si>
  <si>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</si>
  <si>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</si>
  <si>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</si>
  <si>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</si>
  <si>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 15/10: nhạc nền kiểu EDM (build-up, drop) tổng hợp trong trình duyệt, bật/tắt bằng nút loa</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</si>
  <si>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</si>
  <si>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</si>
  <si>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</si>
  <si>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</si>
  <si>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</si>
  <si>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</si>
  <si>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</si>
  <si>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</si>
  <si>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</si>
  <si>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</si>
  <si>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</si>
  <si>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</si>
  <si>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</si>
  <si>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</si>
  <si>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</si>
  <si>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</si>
  <si>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</si>
  <si>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</si>
  <si>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</si>
  <si>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</si>
  <si>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</si>
  <si>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</si>
  <si>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</si>
  <si>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</si>
  <si>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</si>
  <si>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</si>
  <si>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</si>
  <si>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</si>
  <si>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</si>
  <si>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</si>
  <si>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</si>
  <si>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</si>
  <si>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</si>
  <si>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</si>
  <si>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</si>
  <si>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</si>
  <si>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</si>
  <si>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</si>
  <si>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</si>
  <si>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</si>
  <si>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</si>
  <si>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</si>
  <si>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</si>
  <si>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</si>
  <si>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</si>
  <si>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</si>
  <si>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</si>
  <si>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</si>
  <si>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Tiến độ đồng bộ nhiều thiết bị</t>
  </si>
  <si>
    <t>Có (dữ liệu ở máy chủ), nhưng chỉ một nền tảng nên chưa thành lợi thế</t>
  </si>
  <si>
    <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</si>
  <si>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</si>
  <si>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</si>
  <si>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t>
  </si>
  <si>
    <t>Đang chạy — còn nút định dạng trong trình soạn của giáo viên</t>
  </si>
  <si>
    <t>Hàm tr(vi, fr, en) trong shared/i18n.jsx; công cụ scripts/i18n/trich.cjs + ap.cjs; quy tắc 6b trong CLAUDE.md. Xem trước ở /preview.html bằng fr/en</t>
  </si>
  <si>
    <t>Thanh toán</t>
  </si>
  <si>
    <t>Không có — FAQ 10/10: « mọi tính năng học đều miễn phí »; có trang « Ủng hộ »</t>
  </si>
  <si>
    <t>Webhook SePay đã ghim công thức ký; mua bài lẻ, gói VIP và (từ 10/10) bộ Flashcard trả phí qua cùng một mã nội dung chuyển khoản</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</si>
  <si>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</si>
  <si>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</si>
  <si>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</si>
  <si>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</si>
  <si>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</si>
  <si>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</si>
  <si>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</si>
  <si>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</si>
  <si>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</si>
  <si>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</si>
  <si>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</si>
  <si>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</si>
  <si>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</si>
  <si>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</si>
  <si>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</si>
  <si>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</si>
  <si>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400 bài phát âm », « 200+200 bài », 4,9/5 (32 lượt App Store, 12 lượt Google Play) — số đánh giá có nguồn, số bài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</si>
  <si>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</si>
  <si>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</si>
  <si>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</si>
  <si>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</si>
  <si>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</si>
  <si>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</si>
  <si>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 14/10: màn chờ báo trước có thể nộp từng phần sớm (thời gian dư không cộng sang phần sau)</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</si>
  <si>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</si>
  <si>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</si>
  <si>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</si>
  <si>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</si>
  <si>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</si>
  <si>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</si>
  <si>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</si>
  <si>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</si>
  <si>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</si>
  <si>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</si>
  <si>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99.000 đ / 30 ngày, chuyển khoản tự gia hạn (SePay) hoặc giáo viên cấp. Mở mọi bài và bộ Flashcard trả phí; không giới hạn lượt thi thử (thường 2/ngày), AI chấm viết (3/ngày), AI chấm nói và AI nhận xét bài nói (6/24 giờ), AI chấm phát âm (20/ngày), Hỏi Leon (10/ngày). Màn thanh toán có mã VietQR (căn lại 14/10). Từ 14/10 thêm: đề thi thử ngoài Đề 1 mỗi trình độ, bài viết mẫu AI, báo cáo tiến bộ tuần, ôn lại câu sai. 15/10: trần chung 100 lượt AI mỗi ngày (chặn lạm dụng nếu tài khoản bị lộ)</t>
  </si>
  <si>
    <t>Đang chạy — chưa thử chuyển khoản thật</t>
  </si>
  <si>
    <t>migration 118, 122, 124; AvatarMenu.jsx (RPC toi_la_vip)</t>
  </si>
  <si>
    <t>Bài luyện phát âm có AI chấm</t>
  </si>
  <si>
    <t>400 bài, AI chấm phát âm và trôi chảy (công bố 10/10)</t>
  </si>
  <si>
    <t>200 câu A1–B2 (50 mỗi trình độ, 10/10) tập trung âm khó với người Việt (âm mũi, r, u/ou, nối âm), có mẹo từng câu; học sinh đọc, AI chép lại và so từng từ (đo « máy nghe ra đúng bao nhiêu từ », không bịa điểm phát âm); 20 lượt/ngày, VIP không giới hạn; bản ghi âm không lưu. Câu mẫu giọng tổng hợp. 15/10: thêm C1 (51 câu, chuỗi âm mũi và nối âm khó, có mẹo tiếng Việt)</t>
  </si>
  <si>
    <t>Đang chạy — đã thử bằng audio thật, chưa có học sinh dùng</t>
  </si>
  <si>
    <t>cham-phat-am, cau_luyen (migration 131), _shared/soCau.js; NgheNoi.jsx</t>
  </si>
  <si>
    <t>Chép chính tả / nghe điền từ</t>
  </si>
  <si>
    <t>200 + 200 bài, audio bản xứ</t>
  </si>
  <si>
    <t>200 câu chép chính tả + 200 câu nghe điền từ RIÊNG (11/10, không trùng câu chép chính tả; trước đó dạng điền từ dùng lại câu chép), A1–B2, 50 mỗi trình độ, có audio và nghĩa tiếng Việt. 15/10: thêm trình độ C1 (50 + 50 câu dài, văn viết, đọc nhanh như người bản xứ)</t>
  </si>
  <si>
    <t>Đang chạy — chưa có học sinh dùng</t>
  </si>
  <si>
    <t>cau_luyen loai dien_tu (migration 133); scripts/nghe-noi/cau3.mjs; đo: 0 câu trùng</t>
  </si>
  <si>
    <t>Bài học ngữ pháp công khai</t>
  </si>
  <si>
    <t>Có trang « Ngữ pháp tiếng Pháp », đọc không cần đăng nhập (FAQ 10/10)</t>
  </si>
  <si>
    <t>Mục « Học ngữ pháp » (15–16/10): 76 bài theo 6 trình độ (A0 Nhập môn 3, A1 16, A2 15, B1 16, B2 13, C1 13), A1 đến B2 theo khung chương giáo trình chủ dự án gửi, C1 theo chủ điểm CECR. Mỗi bài chia phần a, b, c… có mục lục dính bên trái, giải thích theo khung sư phạm, luyện tập riêng từng phần (211 phần, 1 194 câu) với 5 dạng: trắc nghiệm, điền từ, đúng/sai, sắp xếp từ, sửa lỗi; ôn tập cả bài lưu điểm tốt nhất. A0 có bảng chữ cái và IPA có phát âm. Khác Vivoire: cần đăng nhập, chưa công khai cho khách</t>
  </si>
  <si>
    <t>Đang chạy — chưa có học sinh dùng; nội dung chưa qua giáo viên duyệt</t>
  </si>
  <si>
    <t>screens/student/NguPhap.jsx, content/nguPhap/*.js, migration 148 (bai_hoc_ket_qua, ghi_bai_hoc)</t>
  </si>
  <si>
    <t>Bộ Flashcard trả phí</t>
  </si>
  <si>
    <t>KHÔNG CÓ (chủ dự án xác nhận 10/10; mọi tính năng Vivoire miễn phí)</t>
  </si>
  <si>
    <t>Giáo viên đặt bộ trả phí + giá; học sinh mua bằng chuyển khoản (tự mở khoá khi tiền về), VIP mở hết, giáo viên cấp/thu quyền từng học sinh; thẻ khoá ở database</t>
  </si>
  <si>
    <t>migration 128, 130; webhook SePay mã BO&lt;4&gt;</t>
  </si>
  <si>
    <t>Thách đấu theo chủ đề từ vựng / ngữ pháp</t>
  </si>
  <si>
    <t>KHÔNG CÓ (chủ dự án xác nhận 10/10; Vivoire chỉ có đấu dịch thuật)</t>
  </si>
  <si>
    <t>Chọn 1 trong 7 chủ đề (3 từ vựng, 4 ngữ pháp và diễn đạt); máy chủ gộp thẻ mọi bộ cùng chủ đề, rút ngẫu nhiên 10 câu, phương án cùng dạng; giáo viên xếp bộ vào chủ đề và soạn nghĩa sai. 13/10: thêm 14 chủ đề từ vựng lấy từ Lộ trình (21 chủ đề), 16 bộ « Từ vựng Lộ trình » 800 thẻ, nhiễu cùng loại từ (thêm dạng Tính từ, Thành ngữ)</t>
  </si>
  <si>
    <t>Đang chạy — chưa có trận theo chủ đề nào chơi thật</t>
  </si>
  <si>
    <t>migration 127–129; tao_thach_dau_chu_de; migration 141</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</si>
  <si>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</si>
  <si>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</si>
  <si>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</si>
  <si>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</si>
  <si>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</si>
  <si>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</si>
  <si>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</si>
  <si>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</si>
  <si>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</si>
  <si>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</si>
  <si>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</si>
  <si>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</si>
  <si>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Đóng băng chuỗi ngày học</t>
  </si>
  <si>
    <t>Ngày không làm bài tự đóng băng để giữ chuỗi, 5 lần mỗi tháng; lỡ ngày thứ 6 thì đứt. Widget hiện ô bông tuyết + « còn X/5 lần tháng này ». Lịch sử đóng băng lưu thành bảng nên chuỗi đã đứt trước đó cũng trừ vào ngân sách tháng</t>
  </si>
  <si>
    <t>migration 138, 139 (chuoi_dong_bang, _chuoi_tinh); StreakWidget.jsx</t>
  </si>
  <si>
    <t>Phần thi nói được chấm điểm</t>
  </si>
  <si>
    <t>Như phần viết: mở trang Kết quả thi là AI chấm tự động theo grille Production orale CHÍNH THỨC (A1, A2, B1, B2, C1; chép lời bản ghi rồi chọn mức từng tiêu chí), điểm tính luôn khi đủ mọi tiêu chí hợp lệ. Học sinh vẫn tự chấm lại được, có AI gợi ý từng tiêu chí; điểm tự chấm thay điểm AI. Máy chủ tự cộng và từ chối giá trị không có trên grille</t>
  </si>
  <si>
    <t>Đang chạy: chưa có bài nói nào chấm thật</t>
  </si>
  <si>
    <t>grillePO.js + _thang_po(), Edge Function cham-po (chinhThuc), migration 135, 136, 142; POSelfEvaluation.jsx</t>
  </si>
  <si>
    <t>Bốc thăm đề nói + thời gian chuẩn bị</t>
  </si>
  <si>
    <t>Như phòng thi thật: A1 bốc 1 thẻ, A2–C1 bốc 2 chọn 1 (kho 4 đề mỗi phần, 13 đề thi); đồng hồ chuẩn bị 10/10/10/30/60 phút có giấy nháp, hết giờ tự sang ghi âm; F5 không bốc lại được; đề đã chọn lưu kèm bài để tự chấm và AI biết bài nói trả lời đề nào</t>
  </si>
  <si>
    <t>Đang chạy — đã bấm thử trên trang xem thử</t>
  </si>
  <si>
    <t>BocThamNoi.jsx, meta.bocTham (lô 17), po_cham.de_boc (migration 137); 14/10 sửa lỗi toRows làm mất bocTham (5 đề lô 18 nạp lại), check:exercises canh</t>
  </si>
  <si>
    <t>Giao diện thi giống tờ đề thật</t>
  </si>
  <si>
    <t>Đối chiếu từng trang đề mẫu TP56: giấy trắng chữ đen, phông Roboto Condensed, dải « DOCUMENT RÉSERVÉ AU CANDIDAT », ô số phần + « ▶ EXERCICE », phương án « A ☐ », dòng chấm, giấy kẻ dòng, « Nombre de mots », chân trang « Page x sur y », nút chuyển bài kiểu tờ đề</t>
  </si>
  <si>
    <t>ExamMode.jsx (PhanThi), styles/base.css (.de-giay)</t>
  </si>
  <si>
    <t>Bàn phím ký tự tiếng Pháp</t>
  </si>
  <si>
    <t>Bảng é è ê à â ç î ï ô û ù ë œ (+ chữ hoa) nổi ở đáy màn hình khi gõ vào ô viết tiếng Pháp: luyện tập, bài được giao, thi thử, màn soạn bài của giáo viên (tắt ở ô giải thích tiếng Việt). 15/10: hàng ký tự nằm ngay trong giấy nháp khi thi, không che đề</t>
  </si>
  <si>
    <t>shared/BangDauPhap.jsx (lang="fr")</t>
  </si>
  <si>
    <t>Theo dõi từng học sinh</t>
  </si>
  <si>
    <t>Mỗi học sinh: hoạt động gần nhất, chuỗi ngày, bài và giờ học 7 ngày, điểm TB, XP, VIP, kết quả thi thử gần nhất (Đạt/Trượt theo luật DELF); cờ « Cần quan tâm » (quá 7 ngày không học hoặc trượt); nút Nhắn tin, Giao bài, trang Chi tiết (điểm theo kỹ năng, câu sai nhiều nhất, 30 lượt gần nhất). Sửa lỗi « Jamais connecté » (ghép theo tên → theo id)</t>
  </si>
  <si>
    <t>Đang chạy — chưa mở bằng tài khoản giáo viên thật</t>
  </si>
  <si>
    <t>TheoDoiHocSinh.jsx; RPC tong_quan_hoc_sinh, chi_tiet_hoc_sinh (migration 134)</t>
  </si>
  <si>
    <t>Kho bài thi thử tách khỏi thư viện</t>
  </si>
  <si>
    <t>Bài trong đề thi thử nằm ở kho riêng: học sinh không thấy trong thư viện luyện tập, tìm kiếm cũng không ra; giáo viên soạn/sửa ở tab « Bài thi thử », màn soạn đề chỉ ghép bài từ kho này</t>
  </si>
  <si>
    <t>migration 140; PracticeHub.jsx (kho), ExamComposer.jsx</t>
  </si>
  <si>
    <t>Hồ sơ khi mới đăng ký</t>
  </si>
  <si>
    <t>Tài khoản đăng ký từ 13/10 gặp hộp « Hoàn thiện hồ sơ » ngay khi vào (họ, tên, trình độ, mục tiêu bắt buộc; ngày sinh, điện thoại, trường tuỳ chọn); « Để sau » chỉ ẩn trong phiên</t>
  </si>
  <si>
    <t>Đang chạy — chưa thử với tài khoản mới thật</t>
  </si>
  <si>
    <t>shared/HoanThienHoSo.jsx</t>
  </si>
  <si>
    <t>Giấy nháp và bút tô sáng khi thi</t>
  </si>
  <si>
    <t>Giấy nháp kẻ dòng nổi cạnh đề cho phần Nghe, Đọc, Viết (không chấm, không nộp, giữ khi tải lại trang); bút tô sáng vàng trên bài đọc, bấm để bỏ tô, giữ khi chuyển bài</t>
  </si>
  <si>
    <t>GiayNhap.jsx, VanBanToSang.jsx</t>
  </si>
  <si>
    <t>Chặn dán vào bài viết tự luận</t>
  </si>
  <si>
    <t>Mọi ô bài viết (thi thử, luyện tập, bài được giao) chặn Ctrl+V, dán chuột phải và kéo-thả chữ, báo lý do ngay dưới ô; ô chép câu chứng minh Vrai/Faux không bị chặn</t>
  </si>
  <si>
    <t>Đang chạy — chưa thử trên ô bài viết thật</t>
  </si>
  <si>
    <t>shared/chanDan.js, KhungViet.jsx, ExamMode.jsx</t>
  </si>
  <si>
    <t>Đề thi thử theo gói</t>
  </si>
  <si>
    <t>Tài khoản thường làm Đề 1 mỗi trình độ (A1–C1); các đề khác hiện nhãn « Cần VIP » và nút nâng cấp. Máy chủ chặn thật</t>
  </si>
  <si>
    <t>migration 143 (exams.chi_vip, bat_dau_thi/exam_start trả CAN_VIP); claim giả: thường Đề 2 → CAN_VIP, Đề 1 → được</t>
  </si>
  <si>
    <t>Bài viết mẫu từ bài của học sinh (VIP)</t>
  </si>
  <si>
    <t>AI viết lại CHÍNH bài viết của học sinh ở đúng trình độ đề, giữ ý và bố cục, kèm từng chỗ đã sửa và lý do; mỗi bài một bản, xem lại không tốn thêm</t>
  </si>
  <si>
    <t>Đang chạy: chưa có bài nào tạo mẫu thật</t>
  </si>
  <si>
    <t>Edge Function viet-mau, bảng bai_viet_mau; BaiVietMau.jsx ở trang Kết quả thi</t>
  </si>
  <si>
    <t>Báo cáo tiến bộ tuần (VIP)</t>
  </si>
  <si>
    <t>Bài đã nộp, thời gian, số ngày học trong 7 ngày; điểm từng kỹ năng so với tuần trước; câu hay sai lặp lại; 3 bài gợi ý cho kỹ năng yếu nhất</t>
  </si>
  <si>
    <t>RPC bao_cao_tuan (143); trang /etudiant/tien-bo</t>
  </si>
  <si>
    <t>Ôn lại câu sai (VIP)</t>
  </si>
  <si>
    <t>Danh sách câu mà lần trả lời gần nhất vẫn sai, kèm lời giải, số lần sai, nút làm lại bài; làm đúng thì câu tự rời danh sách</t>
  </si>
  <si>
    <t>Đang chạy: tài khoản VIP thử thấy 9 câu</t>
  </si>
  <si>
    <t>RPC cau_sai_cua_toi (143); trang /etudiant/tien-bo</t>
  </si>
  <si>
    <t>Lịch học</t>
  </si>
  <si>
    <t>Lịch tuần đủ 24 giờ; hạn nộp bài được giao tự hiện; học sinh đặt lịch gắn với một phần (Lộ trình, Luyện tập, Flashcard, Thi thử, Nghe &amp; Nói, Thách đấu), bấm vào sự kiện là mở thẳng phần đó; bộ chọn ngày và giờ cùng kiểu giao diện</t>
  </si>
  <si>
    <t>CalendarView.jsx, ChonGio.jsx (14/10)</t>
  </si>
  <si>
    <t>Đề xuất bài theo trình độ và mục tiêu</t>
  </si>
  <si>
    <t>Chưa kiểm chứng</t>
  </si>
  <si>
    <t>Trang chủ chọn 4 bài theo trình độ hiện tại + mục tiêu (DELF/DALF, du học, đi làm, du lịch…): bậc chính, 1 bài thử sức bậc kế tiếp, kỹ năng mục tiêu đòi hỏi, kỹ năng yếu nhất, bài chưa làm; dòng kế hoạch giải thích vì sao</t>
  </si>
  <si>
    <t>shared/deXuat.js (15/10)</t>
  </si>
  <si>
    <t>Rà soát bảo mật</t>
  </si>
  <si>
    <t>Rà 17 nhóm (vibe-check, 15/10): thêm CSP và header bảo mật (quét trang 0 lỗi), khoá blob đáp án cũ lộ qua khoá anon, khoá dữ liệu riêng giữa học sinh, ẩn danh sách mua bài, lọc HTML bài học sinh, vá thư viện lỗ hổng mức cao; báo cáo ở security/</t>
  </si>
  <si>
    <t>migration 144–146, vercel.json, security/AUDIT_SUMMARY.md</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</si>
  <si>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</si>
  <si>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</si>
  <si>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</si>
  <si>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</si>
  <si>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</si>
  <si>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</si>
  <si>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</si>
  <si>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</si>
  <si>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</si>
  <si>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</si>
  <si>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</si>
  <si>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</si>
  <si>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</si>
  <si>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</si>
  <si>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</si>
  <si>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</si>
  <si>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</si>
  <si>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</si>
  <si>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</si>
  <si>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</si>
  <si>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</si>
  <si>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</si>
  <si>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</si>
  <si>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</si>
  <si>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</si>
  <si>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</si>
  <si>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</si>
  <si>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</si>
  <si>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</si>
  <si>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</si>
  <si>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</si>
  <si>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</si>
  <si>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</si>
  <si>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</si>
  <si>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</si>
  <si>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</si>
  <si>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</si>
  <si>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</si>
  <si>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</si>
  <si>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</si>
  <si>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</si>
  <si>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</si>
  <si>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</si>
  <si>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</si>
  <si>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</si>
  <si>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</si>
  <si>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</si>
  <si>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</si>
  <si>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</si>
  <si>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</si>
  <si>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</si>
  <si>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</si>
  <si>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</si>
  <si>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</si>
  <si>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</si>
  <si>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</si>
  <si>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</si>
  <si>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</si>
  <si>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</si>
  <si>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</si>
  <si>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</si>
  <si>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</si>
  <si>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</si>
  <si>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</si>
  <si>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</si>
  <si>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</si>
  <si>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</si>
  <si>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</si>
  <si>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</si>
  <si>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</si>
  <si>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</si>
  <si>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</si>
  <si>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</si>
  <si>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</si>
  <si>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</si>
  <si>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</si>
  <si>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</si>
  <si>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</si>
  <si>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</si>
  <si>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</si>
  <si>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</si>
  <si>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</si>
  <si>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</si>
  <si>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68 thư viện luyện tập + 93 kho thi thử (14/10)</t>
  </si>
  <si>
    <t>13/10/2026</t>
  </si>
  <si>
    <t>Câu hỏi</t>
  </si>
  <si>
    <t>select count(*) from questions</t>
  </si>
  <si>
    <t>Câu có lời giải thích</t>
  </si>
  <si>
    <t>questions where explanation is not null</t>
  </si>
  <si>
    <t>08/10/2026</t>
  </si>
  <si>
    <t>Câu có neo ngữ liệu</t>
  </si>
  <si>
    <t>questions where evidence is not null</t>
  </si>
  <si>
    <t>Đề thi thử</t>
  </si>
  <si>
    <t>select count(*) from exams where is_published — 14/10</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</si>
  <si>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</si>
  <si>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</si>
  <si>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</si>
  <si>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</si>
  <si>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</si>
  <si>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</si>
  <si>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</si>
  <si>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</si>
  <si>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</si>
  <si>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</si>
  <si>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</si>
  <si>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</si>
  <si>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</si>
  <si>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</si>
  <si>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</si>
  <si>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</si>
  <si>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</si>
  <si>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</si>
  <si>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</si>
  <si>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</si>
  <si>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</si>
  <si>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</si>
  <si>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</si>
  <si>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</si>
  <si>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</si>
  <si>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</si>
  <si>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</si>
  <si>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</si>
  <si>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</si>
  <si>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</si>
  <si>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</si>
  <si>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</si>
  <si>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Câu luyện Nghe &amp; Nói</t>
  </si>
  <si>
    <t>select count(*) from cau_luyen — 200 chép chính tả + 200 điền từ + 200 phát âm</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</si>
  <si>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</si>
  <si>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</si>
  <si>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</si>
  <si>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</si>
  <si>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</si>
  <si>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</si>
  <si>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</si>
  <si>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Bài chép chính tả</t>
  </si>
  <si>
    <t>200</t>
  </si>
  <si>
    <t>trang chủ</t>
  </si>
  <si>
    <t>họ tự công bố</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</si>
  <si>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</si>
  <si>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</si>
  <si>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</si>
  <si>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</si>
  <si>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</si>
  <si>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</si>
  <si>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</si>
  <si>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</si>
  <si>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</si>
  <si>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</si>
  <si>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</si>
  <si>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</si>
  <si>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</si>
  <si>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</si>
  <si>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</si>
  <si>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</si>
  <si>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</si>
  <si>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</si>
  <si>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</si>
  <si>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</si>
  <si>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Thi thử một đề có bật phần nói rồi tự chấm</t>
  </si>
  <si>
    <t>Phần nói chấm điểm, bốc thăm, chuẩn bị và AI gợi ý mới dựng 12–13/10; database 13/10: 0 bài nói đã tự chấm.</t>
  </si>
  <si>
    <t>Thi thử → bật « Làm cả phần thi nói » → Kết quả thi → « Tự chấm phần nói »</t>
  </si>
  <si>
    <t>40 phút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</si>
</sst>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0"/>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tiết'!$A$2:$A$82,$A7)</f>
        <v>9</v>
      </c>
      <c r="C7" s="5">
        <f>SUMPRODUCT(('So sánh chi tiết'!$A$2:$A$82=$A7)*('So sánh chi tiết'!$D$2:$D$82&lt;&gt;"")*('So sánh chi tiết'!$F$2:$F$82&lt;&gt;""))</f>
        <v>9</v>
      </c>
      <c r="D7" s="6">
        <f>IFERROR(SUMPRODUCT(('So sánh chi tiết'!$A$2:$A$82=$A7)*('So sánh chi tiết'!$D$2:$D$82&lt;&gt;"")*('So sánh chi tiết'!$F$2:$F$82&lt;&gt;"")*'So sánh chi tiết'!$D$2:$D$82)/SUMPRODUCT(('So sánh chi tiết'!$A$2:$A$82=$A7)*('So sánh chi tiết'!$D$2:$D$82&lt;&gt;"")*('So sánh chi tiết'!$F$2:$F$82&lt;&gt;"")),"")</f>
        <v>1.1111111111111112</v>
      </c>
      <c r="E7" s="6">
        <f>IFERROR(SUMPRODUCT(('So sánh chi tiết'!$A$2:$A$82=$A7)*('So sánh chi tiết'!$D$2:$D$82&lt;&gt;"")*('So sánh chi tiết'!$F$2:$F$82&lt;&gt;"")*'So sánh chi tiết'!$F$2:$F$82)/SUMPRODUCT(('So sánh chi tiết'!$A$2:$A$82=$A7)*('So sánh chi tiết'!$D$2:$D$82&lt;&gt;"")*('So sánh chi tiết'!$F$2:$F$82&lt;&gt;"")),"")</f>
        <v>1.5555555555555556</v>
      </c>
      <c r="F7" s="6">
        <f>IFERROR(E7-D7,"")</f>
        <v>0.4444444444444444</v>
      </c>
      <c r="G7" s="7" t="str">
        <f>IF(OR(C7&lt;3,F7=""),"quá ít mục",IF(F7&gt;0.25,"FRACILE",IF(F7&lt;-0.25,"Vivoire","ngang nhau")))</f>
        <v>FRACILE</v>
      </c>
    </row>
    <row r="8" ht="20" customHeight="1" spans="1:7" x14ac:dyDescent="0.25">
      <c r="A8" s="4" t="s">
        <v>12</v>
      </c>
      <c r="B8" s="5">
        <f>COUNTIF('So sánh chi tiết'!$A$2:$A$82,$A8)</f>
        <v>11</v>
      </c>
      <c r="C8" s="5">
        <f>SUMPRODUCT(('So sánh chi tiết'!$A$2:$A$82=$A8)*('So sánh chi tiết'!$D$2:$D$82&lt;&gt;"")*('So sánh chi tiết'!$F$2:$F$82&lt;&gt;""))</f>
        <v>11</v>
      </c>
      <c r="D8" s="6">
        <f>IFERROR(SUMPRODUCT(('So sánh chi tiết'!$A$2:$A$82=$A8)*('So sánh chi tiết'!$D$2:$D$82&lt;&gt;"")*('So sánh chi tiết'!$F$2:$F$82&lt;&gt;"")*'So sánh chi tiết'!$D$2:$D$82)/SUMPRODUCT(('So sánh chi tiết'!$A$2:$A$82=$A8)*('So sánh chi tiết'!$D$2:$D$82&lt;&gt;"")*('So sánh chi tiết'!$F$2:$F$82&lt;&gt;"")),"")</f>
        <v>0.18181818181818182</v>
      </c>
      <c r="E8" s="6">
        <f>IFERROR(SUMPRODUCT(('So sánh chi tiết'!$A$2:$A$82=$A8)*('So sánh chi tiết'!$D$2:$D$82&lt;&gt;"")*('So sánh chi tiết'!$F$2:$F$82&lt;&gt;"")*'So sánh chi tiết'!$F$2:$F$82)/SUMPRODUCT(('So sánh chi tiết'!$A$2:$A$82=$A8)*('So sánh chi tiết'!$D$2:$D$82&lt;&gt;"")*('So sánh chi tiết'!$F$2:$F$82&lt;&gt;"")),"")</f>
        <v>2</v>
      </c>
      <c r="F8" s="6">
        <f>IFERROR(E8-D8,"")</f>
        <v>1.8181818181818181</v>
      </c>
      <c r="G8" s="7" t="str">
        <f>IF(OR(C8&lt;3,F8=""),"quá ít mục",IF(F8&gt;0.25,"FRACILE",IF(F8&lt;-0.25,"Vivoire","ngang nhau")))</f>
        <v>FRACILE</v>
      </c>
    </row>
    <row r="9" ht="20" customHeight="1" spans="1:7" x14ac:dyDescent="0.25">
      <c r="A9" s="4" t="s">
        <v>13</v>
      </c>
      <c r="B9" s="5">
        <f>COUNTIF('So sánh chi tiết'!$A$2:$A$82,$A9)</f>
        <v>9</v>
      </c>
      <c r="C9" s="5">
        <f>SUMPRODUCT(('So sánh chi tiết'!$A$2:$A$82=$A9)*('So sánh chi tiết'!$D$2:$D$82&lt;&gt;"")*('So sánh chi tiết'!$F$2:$F$82&lt;&gt;""))</f>
        <v>8</v>
      </c>
      <c r="D9" s="6">
        <f>IFERROR(SUMPRODUCT(('So sánh chi tiết'!$A$2:$A$82=$A9)*('So sánh chi tiết'!$D$2:$D$82&lt;&gt;"")*('So sánh chi tiết'!$F$2:$F$82&lt;&gt;"")*'So sánh chi tiết'!$D$2:$D$82)/SUMPRODUCT(('So sánh chi tiết'!$A$2:$A$82=$A9)*('So sánh chi tiết'!$D$2:$D$82&lt;&gt;"")*('So sánh chi tiết'!$F$2:$F$82&lt;&gt;"")),"")</f>
        <v>1.5</v>
      </c>
      <c r="E9" s="6">
        <f>IFERROR(SUMPRODUCT(('So sánh chi tiết'!$A$2:$A$82=$A9)*('So sánh chi tiết'!$D$2:$D$82&lt;&gt;"")*('So sánh chi tiết'!$F$2:$F$82&lt;&gt;"")*'So sánh chi tiết'!$F$2:$F$82)/SUMPRODUCT(('So sánh chi tiết'!$A$2:$A$82=$A9)*('So sánh chi tiết'!$D$2:$D$82&lt;&gt;"")*('So sánh chi tiết'!$F$2:$F$82&lt;&gt;"")),"")</f>
        <v>1.625</v>
      </c>
      <c r="F9" s="6">
        <f>IFERROR(E9-D9,"")</f>
        <v>0.125</v>
      </c>
      <c r="G9" s="7" t="str">
        <f>IF(OR(C9&lt;3,F9=""),"quá ít mục",IF(F9&gt;0.25,"FRACILE",IF(F9&lt;-0.25,"Vivoire","ngang nhau")))</f>
        <v>ngang nhau</v>
      </c>
    </row>
    <row r="10" ht="20" customHeight="1" spans="1:7" x14ac:dyDescent="0.25">
      <c r="A10" s="4" t="s">
        <v>14</v>
      </c>
      <c r="B10" s="5">
        <f>COUNTIF('So sánh chi tiết'!$A$2:$A$82,$A10)</f>
        <v>24</v>
      </c>
      <c r="C10" s="5">
        <f>SUMPRODUCT(('So sánh chi tiết'!$A$2:$A$82=$A10)*('So sánh chi tiết'!$D$2:$D$82&lt;&gt;"")*('So sánh chi tiết'!$F$2:$F$82&lt;&gt;""))</f>
        <v>22</v>
      </c>
      <c r="D10" s="6">
        <f>IFERROR(SUMPRODUCT(('So sánh chi tiết'!$A$2:$A$82=$A10)*('So sánh chi tiết'!$D$2:$D$82&lt;&gt;"")*('So sánh chi tiết'!$F$2:$F$82&lt;&gt;"")*'So sánh chi tiết'!$D$2:$D$82)/SUMPRODUCT(('So sánh chi tiết'!$A$2:$A$82=$A10)*('So sánh chi tiết'!$D$2:$D$82&lt;&gt;"")*('So sánh chi tiết'!$F$2:$F$82&lt;&gt;"")),"")</f>
        <v>0.5454545454545454</v>
      </c>
      <c r="E10" s="6">
        <f>IFERROR(SUMPRODUCT(('So sánh chi tiết'!$A$2:$A$82=$A10)*('So sánh chi tiết'!$D$2:$D$82&lt;&gt;"")*('So sánh chi tiết'!$F$2:$F$82&lt;&gt;"")*'So sánh chi tiết'!$F$2:$F$82)/SUMPRODUCT(('So sánh chi tiết'!$A$2:$A$82=$A10)*('So sánh chi tiết'!$D$2:$D$82&lt;&gt;"")*('So sánh chi tiết'!$F$2:$F$82&lt;&gt;"")),"")</f>
        <v>1.9545454545454546</v>
      </c>
      <c r="F10" s="6">
        <f>IFERROR(E10-D10,"")</f>
        <v>1.4090909090909092</v>
      </c>
      <c r="G10" s="7" t="str">
        <f>IF(OR(C10&lt;3,F10=""),"quá ít mục",IF(F10&gt;0.25,"FRACILE",IF(F10&lt;-0.25,"Vivoire","ngang nhau")))</f>
        <v>FRACILE</v>
      </c>
    </row>
    <row r="11" ht="20" customHeight="1" spans="1:7" x14ac:dyDescent="0.25">
      <c r="A11" s="4" t="s">
        <v>15</v>
      </c>
      <c r="B11" s="5">
        <f>COUNTIF('So sánh chi tiết'!$A$2:$A$82,$A11)</f>
        <v>16</v>
      </c>
      <c r="C11" s="5">
        <f>SUMPRODUCT(('So sánh chi tiết'!$A$2:$A$82=$A11)*('So sánh chi tiết'!$D$2:$D$82&lt;&gt;"")*('So sánh chi tiết'!$F$2:$F$82&lt;&gt;""))</f>
        <v>15</v>
      </c>
      <c r="D11" s="6">
        <f>IFERROR(SUMPRODUCT(('So sánh chi tiết'!$A$2:$A$82=$A11)*('So sánh chi tiết'!$D$2:$D$82&lt;&gt;"")*('So sánh chi tiết'!$F$2:$F$82&lt;&gt;"")*'So sánh chi tiết'!$D$2:$D$82)/SUMPRODUCT(('So sánh chi tiết'!$A$2:$A$82=$A11)*('So sánh chi tiết'!$D$2:$D$82&lt;&gt;"")*('So sánh chi tiết'!$F$2:$F$82&lt;&gt;"")),"")</f>
        <v>0.5333333333333333</v>
      </c>
      <c r="E11" s="6">
        <f>IFERROR(SUMPRODUCT(('So sánh chi tiết'!$A$2:$A$82=$A11)*('So sánh chi tiết'!$D$2:$D$82&lt;&gt;"")*('So sánh chi tiết'!$F$2:$F$82&lt;&gt;"")*'So sánh chi tiết'!$F$2:$F$82)/SUMPRODUCT(('So sánh chi tiết'!$A$2:$A$82=$A11)*('So sánh chi tiết'!$D$2:$D$82&lt;&gt;"")*('So sánh chi tiết'!$F$2:$F$82&lt;&gt;"")),"")</f>
        <v>1.6666666666666667</v>
      </c>
      <c r="F11" s="6">
        <f>IFERROR(E11-D11,"")</f>
        <v>1.1333333333333333</v>
      </c>
      <c r="G11" s="7" t="str">
        <f>IF(OR(C11&lt;3,F11=""),"quá ít mục",IF(F11&gt;0.25,"FRACILE",IF(F11&lt;-0.25,"Vivoire","ngang nhau")))</f>
        <v>FRACILE</v>
      </c>
    </row>
    <row r="12" ht="20" customHeight="1" spans="1:7" x14ac:dyDescent="0.25">
      <c r="A12" s="4" t="s">
        <v>16</v>
      </c>
      <c r="B12" s="5">
        <f>COUNTIF('So sánh chi tiết'!$A$2:$A$82,$A12)</f>
        <v>4</v>
      </c>
      <c r="C12" s="5">
        <f>SUMPRODUCT(('So sánh chi tiết'!$A$2:$A$82=$A12)*('So sánh chi tiết'!$D$2:$D$82&lt;&gt;"")*('So sánh chi tiết'!$F$2:$F$82&lt;&gt;""))</f>
        <v>3</v>
      </c>
      <c r="D12" s="6">
        <f>IFERROR(SUMPRODUCT(('So sánh chi tiết'!$A$2:$A$82=$A12)*('So sánh chi tiết'!$D$2:$D$82&lt;&gt;"")*('So sánh chi tiết'!$F$2:$F$82&lt;&gt;"")*'So sánh chi tiết'!$D$2:$D$82)/SUMPRODUCT(('So sánh chi tiết'!$A$2:$A$82=$A12)*('So sánh chi tiết'!$D$2:$D$82&lt;&gt;"")*('So sánh chi tiết'!$F$2:$F$82&lt;&gt;"")),"")</f>
        <v>1.6666666666666667</v>
      </c>
      <c r="E12" s="6">
        <f>IFERROR(SUMPRODUCT(('So sánh chi tiết'!$A$2:$A$82=$A12)*('So sánh chi tiết'!$D$2:$D$82&lt;&gt;"")*('So sánh chi tiết'!$F$2:$F$82&lt;&gt;"")*'So sánh chi tiết'!$F$2:$F$82)/SUMPRODUCT(('So sánh chi tiết'!$A$2:$A$82=$A12)*('So sánh chi tiết'!$D$2:$D$82&lt;&gt;"")*('So sánh chi tiết'!$F$2:$F$82&lt;&gt;"")),"")</f>
        <v>1.6666666666666667</v>
      </c>
      <c r="F12" s="6">
        <f>IFERROR(E12-D12,"")</f>
        <v>0</v>
      </c>
      <c r="G12" s="7" t="str">
        <f>IF(OR(C12&lt;3,F12=""),"quá ít mục",IF(F12&gt;0.25,"FRACILE",IF(F12&lt;-0.25,"Vivoire","ngang nhau")))</f>
        <v>ngang nhau</v>
      </c>
    </row>
    <row r="13" ht="20" customHeight="1" spans="1:7" x14ac:dyDescent="0.25">
      <c r="A13" s="4" t="s">
        <v>17</v>
      </c>
      <c r="B13" s="5">
        <f>COUNTIF('So sánh chi tiết'!$A$2:$A$82,$A13)</f>
        <v>8</v>
      </c>
      <c r="C13" s="5">
        <f>SUMPRODUCT(('So sánh chi tiết'!$A$2:$A$82=$A13)*('So sánh chi tiết'!$D$2:$D$82&lt;&gt;"")*('So sánh chi tiết'!$F$2:$F$82&lt;&gt;""))</f>
        <v>7</v>
      </c>
      <c r="D13" s="6">
        <f>IFERROR(SUMPRODUCT(('So sánh chi tiết'!$A$2:$A$82=$A13)*('So sánh chi tiết'!$D$2:$D$82&lt;&gt;"")*('So sánh chi tiết'!$F$2:$F$82&lt;&gt;"")*'So sánh chi tiết'!$D$2:$D$82)/SUMPRODUCT(('So sánh chi tiết'!$A$2:$A$82=$A13)*('So sánh chi tiết'!$D$2:$D$82&lt;&gt;"")*('So sánh chi tiết'!$F$2:$F$82&lt;&gt;"")),"")</f>
        <v>1.2857142857142858</v>
      </c>
      <c r="E13" s="6">
        <f>IFERROR(SUMPRODUCT(('So sánh chi tiết'!$A$2:$A$82=$A13)*('So sánh chi tiết'!$D$2:$D$82&lt;&gt;"")*('So sánh chi tiết'!$F$2:$F$82&lt;&gt;"")*'So sánh chi tiết'!$F$2:$F$82)/SUMPRODUCT(('So sánh chi tiết'!$A$2:$A$82=$A13)*('So sánh chi tiết'!$D$2:$D$82&lt;&gt;"")*('So sánh chi tiết'!$F$2:$F$82&lt;&gt;"")),"")</f>
        <v>1.5714285714285714</v>
      </c>
      <c r="F13" s="6">
        <f>IFERROR(E13-D13,"")</f>
        <v>0.2857142857142856</v>
      </c>
      <c r="G13" s="7" t="str">
        <f>IF(OR(C13&lt;3,F13=""),"quá ít mục",IF(F13&gt;0.25,"FRACILE",IF(F13&lt;-0.25,"Vivoire","ngang nhau")))</f>
        <v>FRACILE</v>
      </c>
    </row>
    <row r="14" spans="1:7" x14ac:dyDescent="0.25">
      <c r="A14" s="8" t="s">
        <v>18</v>
      </c>
      <c r="B14" s="9">
        <f>SUM(B7:B13)</f>
        <v>81</v>
      </c>
      <c r="C14" s="9">
        <f>SUM(C7:C13)</f>
        <v>75</v>
      </c>
      <c r="D14" s="10">
        <f>IFERROR(SUMPRODUCT(('So sánh chi tiết'!$D$2:$D$82&lt;&gt;"")*('So sánh chi tiết'!$F$2:$F$82&lt;&gt;"")*'So sánh chi tiết'!$D$2:$D$82)/SUMPRODUCT(('So sánh chi tiết'!$D$2:$D$82&lt;&gt;"")*('So sánh chi tiết'!$F$2:$F$82&lt;&gt;"")),"")</f>
        <v>0.7733333333333333</v>
      </c>
      <c r="E14" s="10">
        <f>IFERROR(SUMPRODUCT(('So sánh chi tiết'!$D$2:$D$82&lt;&gt;"")*('So sánh chi tiết'!$F$2:$F$82&lt;&gt;"")*'So sánh chi tiết'!$F$2:$F$82)/SUMPRODUCT(('So sánh chi tiết'!$D$2:$D$82&lt;&gt;"")*('So sánh chi tiết'!$F$2:$F$82&lt;&gt;"")),"")</f>
        <v>1.7733333333333334</v>
      </c>
      <c r="F14" s="10">
        <f>E14-D14</f>
        <v>1</v>
      </c>
      <c r="G14" s="10" t="str">
        <f>IF(F14&gt;0.25,"FRACILE",IF(F14&lt;-0.25,"Vivoire","ngang nhau"))</f>
        <v>FRACILE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row r="51" ht="28" customHeight="1" spans="1:7" x14ac:dyDescent="0.25">
      <c r="A51" s="17" t="s">
        <v>77</v>
      </c>
      <c r="B51" s="18" t="s">
        <v>78</v>
      </c>
      <c r="C51" s="18"/>
      <c r="D51" s="18"/>
      <c r="E51" s="18"/>
      <c r="F51" s="18"/>
      <c r="G51" s="18"/>
    </row>
    <row r="52" ht="28" customHeight="1" spans="1:7" x14ac:dyDescent="0.25">
      <c r="A52" s="17" t="s">
        <v>79</v>
      </c>
      <c r="B52" s="18" t="s">
        <v>80</v>
      </c>
      <c r="C52" s="18"/>
      <c r="D52" s="18"/>
      <c r="E52" s="18"/>
      <c r="F52" s="18"/>
      <c r="G52" s="18"/>
    </row>
    <row r="53" ht="28" customHeight="1" spans="1:7" x14ac:dyDescent="0.25">
      <c r="A53" s="17" t="s">
        <v>81</v>
      </c>
      <c r="B53" s="18" t="s">
        <v>82</v>
      </c>
      <c r="C53" s="18"/>
      <c r="D53" s="18"/>
      <c r="E53" s="18"/>
      <c r="F53" s="18"/>
      <c r="G53" s="18"/>
    </row>
    <row r="54" ht="28" customHeight="1" spans="1:7" x14ac:dyDescent="0.25">
      <c r="A54" s="17" t="s">
        <v>83</v>
      </c>
      <c r="B54" s="18" t="s">
        <v>84</v>
      </c>
      <c r="C54" s="18"/>
      <c r="D54" s="18"/>
      <c r="E54" s="18"/>
      <c r="F54" s="18"/>
      <c r="G54" s="18"/>
    </row>
    <row r="55" ht="28" customHeight="1" spans="1:7" x14ac:dyDescent="0.25">
      <c r="A55" s="17" t="s">
        <v>85</v>
      </c>
      <c r="B55" s="18" t="s">
        <v>86</v>
      </c>
      <c r="C55" s="18"/>
      <c r="D55" s="18"/>
      <c r="E55" s="18"/>
      <c r="F55" s="18"/>
      <c r="G55" s="18"/>
    </row>
    <row r="56" ht="28" customHeight="1" spans="1:7" x14ac:dyDescent="0.25">
      <c r="A56" s="17" t="s">
        <v>87</v>
      </c>
      <c r="B56" s="18" t="s">
        <v>88</v>
      </c>
      <c r="C56" s="18"/>
      <c r="D56" s="18"/>
      <c r="E56" s="18"/>
      <c r="F56" s="18"/>
      <c r="G56" s="18"/>
    </row>
    <row r="57" ht="28" customHeight="1" spans="1:7" x14ac:dyDescent="0.25">
      <c r="A57" s="17" t="s">
        <v>89</v>
      </c>
      <c r="B57" s="18" t="s">
        <v>90</v>
      </c>
      <c r="C57" s="18"/>
      <c r="D57" s="18"/>
      <c r="E57" s="18"/>
      <c r="F57" s="18"/>
      <c r="G57" s="18"/>
    </row>
    <row r="58" ht="28" customHeight="1" spans="1:7" x14ac:dyDescent="0.25">
      <c r="A58" s="17" t="s">
        <v>91</v>
      </c>
      <c r="B58" s="18" t="s">
        <v>92</v>
      </c>
      <c r="C58" s="18"/>
      <c r="D58" s="18"/>
      <c r="E58" s="18"/>
      <c r="F58" s="18"/>
      <c r="G58" s="18"/>
    </row>
    <row r="59" ht="28" customHeight="1" spans="1:7" x14ac:dyDescent="0.25">
      <c r="A59" s="17" t="s">
        <v>93</v>
      </c>
      <c r="B59" s="18" t="s">
        <v>94</v>
      </c>
      <c r="C59" s="18"/>
      <c r="D59" s="18"/>
      <c r="E59" s="18"/>
      <c r="F59" s="18"/>
      <c r="G59" s="18"/>
    </row>
    <row r="60" ht="28" customHeight="1" spans="1:7" x14ac:dyDescent="0.25">
      <c r="A60" s="17" t="s">
        <v>95</v>
      </c>
      <c r="B60" s="18" t="s">
        <v>96</v>
      </c>
      <c r="C60" s="18"/>
      <c r="D60" s="18"/>
      <c r="E60" s="18"/>
      <c r="F60" s="18"/>
      <c r="G60" s="18"/>
    </row>
  </sheetData>
  <mergeCells count="34">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 ref="B51:G51"/>
    <mergeCell ref="B52:G52"/>
    <mergeCell ref="B53:G53"/>
    <mergeCell ref="B54:G54"/>
    <mergeCell ref="B55:G55"/>
    <mergeCell ref="B56:G56"/>
    <mergeCell ref="B57:G57"/>
    <mergeCell ref="B58:G58"/>
    <mergeCell ref="B59:G59"/>
    <mergeCell ref="B60:G6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82"/>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97</v>
      </c>
      <c r="C1" s="3" t="s">
        <v>98</v>
      </c>
      <c r="D1" s="3" t="s">
        <v>99</v>
      </c>
      <c r="E1" s="3" t="s">
        <v>100</v>
      </c>
      <c r="F1" s="3" t="s">
        <v>101</v>
      </c>
      <c r="G1" s="3" t="s">
        <v>102</v>
      </c>
      <c r="H1" s="3" t="s">
        <v>103</v>
      </c>
      <c r="I1" s="3" t="s">
        <v>104</v>
      </c>
    </row>
    <row r="2" ht="44" customHeight="1" spans="1:9" x14ac:dyDescent="0.25">
      <c r="A2" s="19" t="s">
        <v>11</v>
      </c>
      <c r="B2" s="20" t="s">
        <v>105</v>
      </c>
      <c r="C2" s="21" t="s">
        <v>106</v>
      </c>
      <c r="D2" s="22">
        <v>2</v>
      </c>
      <c r="E2" s="21" t="s">
        <v>107</v>
      </c>
      <c r="F2" s="22">
        <v>2</v>
      </c>
      <c r="G2" s="23" t="str">
        <f>IF(OR(D2="",F2=""),"chưa rõ",IF(F2&gt;D2,"FRACILE",IF(D2&gt;F2,"Vivoire","hoà")))</f>
        <v>hoà</v>
      </c>
      <c r="H2" s="19" t="s">
        <v>108</v>
      </c>
      <c r="I2" s="24" t="s">
        <v>109</v>
      </c>
    </row>
    <row r="3" ht="44" customHeight="1" spans="1:9" x14ac:dyDescent="0.25">
      <c r="A3" s="25" t="s">
        <v>11</v>
      </c>
      <c r="B3" s="26" t="s">
        <v>110</v>
      </c>
      <c r="C3" s="27" t="s">
        <v>111</v>
      </c>
      <c r="D3" s="28">
        <v>0</v>
      </c>
      <c r="E3" s="27" t="s">
        <v>112</v>
      </c>
      <c r="F3" s="28">
        <v>2</v>
      </c>
      <c r="G3" s="29" t="str">
        <f>IF(OR(D3="",F3=""),"chưa rõ",IF(F3&gt;D3,"FRACILE",IF(D3&gt;F3,"Vivoire","hoà")))</f>
        <v>FRACILE</v>
      </c>
      <c r="H3" s="25" t="s">
        <v>108</v>
      </c>
      <c r="I3" s="30" t="s">
        <v>113</v>
      </c>
    </row>
    <row r="4" ht="44" customHeight="1" spans="1:9" x14ac:dyDescent="0.25">
      <c r="A4" s="19" t="s">
        <v>11</v>
      </c>
      <c r="B4" s="20" t="s">
        <v>114</v>
      </c>
      <c r="C4" s="21" t="s">
        <v>115</v>
      </c>
      <c r="D4" s="22">
        <v>2</v>
      </c>
      <c r="E4" s="21" t="s">
        <v>116</v>
      </c>
      <c r="F4" s="22">
        <v>2</v>
      </c>
      <c r="G4" s="23" t="str">
        <f>IF(OR(D4="",F4=""),"chưa rõ",IF(F4&gt;D4,"FRACILE",IF(D4&gt;F4,"Vivoire","hoà")))</f>
        <v>hoà</v>
      </c>
      <c r="H4" s="19" t="s">
        <v>117</v>
      </c>
      <c r="I4" s="24" t="s">
        <v>118</v>
      </c>
    </row>
    <row r="5" ht="44" customHeight="1" spans="1:9" x14ac:dyDescent="0.25">
      <c r="A5" s="19" t="s">
        <v>11</v>
      </c>
      <c r="B5" s="20" t="s">
        <v>119</v>
      </c>
      <c r="C5" s="21" t="s">
        <v>120</v>
      </c>
      <c r="D5" s="22">
        <v>2</v>
      </c>
      <c r="E5" s="21" t="s">
        <v>121</v>
      </c>
      <c r="F5" s="22">
        <v>1</v>
      </c>
      <c r="G5" s="23" t="str">
        <f>IF(OR(D5="",F5=""),"chưa rõ",IF(F5&gt;D5,"FRACILE",IF(D5&gt;F5,"Vivoire","hoà")))</f>
        <v>Vivoire</v>
      </c>
      <c r="H5" s="19" t="s">
        <v>108</v>
      </c>
      <c r="I5" s="24" t="s">
        <v>122</v>
      </c>
    </row>
    <row r="6" ht="44" customHeight="1" spans="1:9" x14ac:dyDescent="0.25">
      <c r="A6" s="19" t="s">
        <v>11</v>
      </c>
      <c r="B6" s="20" t="s">
        <v>123</v>
      </c>
      <c r="C6" s="21" t="s">
        <v>124</v>
      </c>
      <c r="D6" s="22">
        <v>2</v>
      </c>
      <c r="E6" s="21" t="s">
        <v>125</v>
      </c>
      <c r="F6" s="22">
        <v>1</v>
      </c>
      <c r="G6" s="23" t="str">
        <f>IF(OR(D6="",F6=""),"chưa rõ",IF(F6&gt;D6,"FRACILE",IF(D6&gt;F6,"Vivoire","hoà")))</f>
        <v>Vivoire</v>
      </c>
      <c r="H6" s="19" t="s">
        <v>126</v>
      </c>
      <c r="I6" s="24" t="s">
        <v>127</v>
      </c>
    </row>
    <row r="7" ht="44" customHeight="1" spans="1:9" x14ac:dyDescent="0.25">
      <c r="A7" s="31" t="s">
        <v>11</v>
      </c>
      <c r="B7" s="32" t="s">
        <v>128</v>
      </c>
      <c r="C7" s="33" t="s">
        <v>129</v>
      </c>
      <c r="D7" s="34">
        <v>2</v>
      </c>
      <c r="E7" s="33" t="s">
        <v>130</v>
      </c>
      <c r="F7" s="34">
        <v>0</v>
      </c>
      <c r="G7" s="35" t="str">
        <f>IF(OR(D7="",F7=""),"chưa rõ",IF(F7&gt;D7,"FRACILE",IF(D7&gt;F7,"Vivoire","hoà")))</f>
        <v>Vivoire</v>
      </c>
      <c r="H7" s="31" t="s">
        <v>131</v>
      </c>
      <c r="I7" s="36" t="s">
        <v>132</v>
      </c>
    </row>
    <row r="8" ht="44" customHeight="1" spans="1:9" x14ac:dyDescent="0.25">
      <c r="A8" s="25" t="s">
        <v>11</v>
      </c>
      <c r="B8" s="26" t="s">
        <v>133</v>
      </c>
      <c r="C8" s="27" t="s">
        <v>111</v>
      </c>
      <c r="D8" s="28">
        <v>0</v>
      </c>
      <c r="E8" s="27" t="s">
        <v>134</v>
      </c>
      <c r="F8" s="28">
        <v>2</v>
      </c>
      <c r="G8" s="29" t="str">
        <f>IF(OR(D8="",F8=""),"chưa rõ",IF(F8&gt;D8,"FRACILE",IF(D8&gt;F8,"Vivoire","hoà")))</f>
        <v>FRACILE</v>
      </c>
      <c r="H8" s="25" t="s">
        <v>135</v>
      </c>
      <c r="I8" s="30" t="s">
        <v>136</v>
      </c>
    </row>
    <row r="9" ht="44" customHeight="1" spans="1:9" x14ac:dyDescent="0.25">
      <c r="A9" s="25" t="s">
        <v>11</v>
      </c>
      <c r="B9" s="26" t="s">
        <v>137</v>
      </c>
      <c r="C9" s="27" t="s">
        <v>23</v>
      </c>
      <c r="D9" s="28">
        <v>0</v>
      </c>
      <c r="E9" s="27" t="s">
        <v>138</v>
      </c>
      <c r="F9" s="28">
        <v>2</v>
      </c>
      <c r="G9" s="29" t="str">
        <f>IF(OR(D9="",F9=""),"chưa rõ",IF(F9&gt;D9,"FRACILE",IF(D9&gt;F9,"Vivoire","hoà")))</f>
        <v>FRACILE</v>
      </c>
      <c r="H9" s="25" t="s">
        <v>139</v>
      </c>
      <c r="I9" s="30" t="s">
        <v>140</v>
      </c>
    </row>
    <row r="10" ht="44" customHeight="1" spans="1:9" x14ac:dyDescent="0.25">
      <c r="A10" s="19" t="s">
        <v>12</v>
      </c>
      <c r="B10" s="20" t="s">
        <v>141</v>
      </c>
      <c r="C10" s="21" t="s">
        <v>142</v>
      </c>
      <c r="D10" s="22">
        <v>2</v>
      </c>
      <c r="E10" s="21" t="s">
        <v>143</v>
      </c>
      <c r="F10" s="22">
        <v>2</v>
      </c>
      <c r="G10" s="23" t="str">
        <f>IF(OR(D10="",F10=""),"chưa rõ",IF(F10&gt;D10,"FRACILE",IF(D10&gt;F10,"Vivoire","hoà")))</f>
        <v>hoà</v>
      </c>
      <c r="H10" s="19" t="s">
        <v>144</v>
      </c>
      <c r="I10" s="24" t="s">
        <v>145</v>
      </c>
    </row>
    <row r="11" ht="44" customHeight="1" spans="1:9" x14ac:dyDescent="0.25">
      <c r="A11" s="25" t="s">
        <v>12</v>
      </c>
      <c r="B11" s="26" t="s">
        <v>146</v>
      </c>
      <c r="C11" s="27" t="s">
        <v>111</v>
      </c>
      <c r="D11" s="28">
        <v>0</v>
      </c>
      <c r="E11" s="27" t="s">
        <v>147</v>
      </c>
      <c r="F11" s="28">
        <v>2</v>
      </c>
      <c r="G11" s="29" t="str">
        <f>IF(OR(D11="",F11=""),"chưa rõ",IF(F11&gt;D11,"FRACILE",IF(D11&gt;F11,"Vivoire","hoà")))</f>
        <v>FRACILE</v>
      </c>
      <c r="H11" s="25" t="s">
        <v>108</v>
      </c>
      <c r="I11" s="30" t="s">
        <v>148</v>
      </c>
    </row>
    <row r="12" ht="44" customHeight="1" spans="1:9" x14ac:dyDescent="0.25">
      <c r="A12" s="25" t="s">
        <v>12</v>
      </c>
      <c r="B12" s="26" t="s">
        <v>149</v>
      </c>
      <c r="C12" s="27" t="s">
        <v>111</v>
      </c>
      <c r="D12" s="28">
        <v>0</v>
      </c>
      <c r="E12" s="27" t="s">
        <v>150</v>
      </c>
      <c r="F12" s="28">
        <v>2</v>
      </c>
      <c r="G12" s="29" t="str">
        <f>IF(OR(D12="",F12=""),"chưa rõ",IF(F12&gt;D12,"FRACILE",IF(D12&gt;F12,"Vivoire","hoà")))</f>
        <v>FRACILE</v>
      </c>
      <c r="H12" s="25" t="s">
        <v>108</v>
      </c>
      <c r="I12" s="30" t="s">
        <v>151</v>
      </c>
    </row>
    <row r="13" ht="44" customHeight="1" spans="1:9" x14ac:dyDescent="0.25">
      <c r="A13" s="25" t="s">
        <v>12</v>
      </c>
      <c r="B13" s="26" t="s">
        <v>152</v>
      </c>
      <c r="C13" s="27" t="s">
        <v>111</v>
      </c>
      <c r="D13" s="28">
        <v>0</v>
      </c>
      <c r="E13" s="27" t="s">
        <v>153</v>
      </c>
      <c r="F13" s="28">
        <v>2</v>
      </c>
      <c r="G13" s="29" t="str">
        <f>IF(OR(D13="",F13=""),"chưa rõ",IF(F13&gt;D13,"FRACILE",IF(D13&gt;F13,"Vivoire","hoà")))</f>
        <v>FRACILE</v>
      </c>
      <c r="H13" s="25" t="s">
        <v>108</v>
      </c>
      <c r="I13" s="30" t="s">
        <v>154</v>
      </c>
    </row>
    <row r="14" ht="44" customHeight="1" spans="1:9" x14ac:dyDescent="0.25">
      <c r="A14" s="25" t="s">
        <v>12</v>
      </c>
      <c r="B14" s="26" t="s">
        <v>155</v>
      </c>
      <c r="C14" s="27" t="s">
        <v>111</v>
      </c>
      <c r="D14" s="28">
        <v>0</v>
      </c>
      <c r="E14" s="27" t="s">
        <v>156</v>
      </c>
      <c r="F14" s="28">
        <v>2</v>
      </c>
      <c r="G14" s="29" t="str">
        <f>IF(OR(D14="",F14=""),"chưa rõ",IF(F14&gt;D14,"FRACILE",IF(D14&gt;F14,"Vivoire","hoà")))</f>
        <v>FRACILE</v>
      </c>
      <c r="H14" s="25" t="s">
        <v>108</v>
      </c>
      <c r="I14" s="30" t="s">
        <v>157</v>
      </c>
    </row>
    <row r="15" ht="44" customHeight="1" spans="1:9" x14ac:dyDescent="0.25">
      <c r="A15" s="25" t="s">
        <v>12</v>
      </c>
      <c r="B15" s="26" t="s">
        <v>158</v>
      </c>
      <c r="C15" s="27" t="s">
        <v>111</v>
      </c>
      <c r="D15" s="28">
        <v>0</v>
      </c>
      <c r="E15" s="27" t="s">
        <v>159</v>
      </c>
      <c r="F15" s="28">
        <v>2</v>
      </c>
      <c r="G15" s="29" t="str">
        <f>IF(OR(D15="",F15=""),"chưa rõ",IF(F15&gt;D15,"FRACILE",IF(D15&gt;F15,"Vivoire","hoà")))</f>
        <v>FRACILE</v>
      </c>
      <c r="H15" s="25" t="s">
        <v>108</v>
      </c>
      <c r="I15" s="30" t="s">
        <v>160</v>
      </c>
    </row>
    <row r="16" ht="44" customHeight="1" spans="1:9" x14ac:dyDescent="0.25">
      <c r="A16" s="19" t="s">
        <v>13</v>
      </c>
      <c r="B16" s="20" t="s">
        <v>161</v>
      </c>
      <c r="C16" s="21" t="s">
        <v>162</v>
      </c>
      <c r="D16" s="22">
        <v>2</v>
      </c>
      <c r="E16" s="21" t="s">
        <v>163</v>
      </c>
      <c r="F16" s="22">
        <v>1</v>
      </c>
      <c r="G16" s="23" t="str">
        <f>IF(OR(D16="",F16=""),"chưa rõ",IF(F16&gt;D16,"FRACILE",IF(D16&gt;F16,"Vivoire","hoà")))</f>
        <v>Vivoire</v>
      </c>
      <c r="H16" s="19" t="s">
        <v>164</v>
      </c>
      <c r="I16" s="24" t="s">
        <v>165</v>
      </c>
    </row>
    <row r="17" ht="44" customHeight="1" spans="1:9" x14ac:dyDescent="0.25">
      <c r="A17" s="19" t="s">
        <v>13</v>
      </c>
      <c r="B17" s="20" t="s">
        <v>166</v>
      </c>
      <c r="C17" s="21" t="s">
        <v>167</v>
      </c>
      <c r="D17" s="22">
        <v>2</v>
      </c>
      <c r="E17" s="21" t="s">
        <v>168</v>
      </c>
      <c r="F17" s="22">
        <v>2</v>
      </c>
      <c r="G17" s="23" t="str">
        <f>IF(OR(D17="",F17=""),"chưa rõ",IF(F17&gt;D17,"FRACILE",IF(D17&gt;F17,"Vivoire","hoà")))</f>
        <v>hoà</v>
      </c>
      <c r="H17" s="19" t="s">
        <v>108</v>
      </c>
      <c r="I17" s="24" t="s">
        <v>169</v>
      </c>
    </row>
    <row r="18" ht="44" customHeight="1" spans="1:9" x14ac:dyDescent="0.25">
      <c r="A18" s="25" t="s">
        <v>13</v>
      </c>
      <c r="B18" s="26" t="s">
        <v>170</v>
      </c>
      <c r="C18" s="27" t="s">
        <v>171</v>
      </c>
      <c r="D18" s="28"/>
      <c r="E18" s="27" t="s">
        <v>172</v>
      </c>
      <c r="F18" s="28">
        <v>2</v>
      </c>
      <c r="G18" s="29" t="str">
        <f>IF(OR(D18="",F18=""),"chưa rõ",IF(F18&gt;D18,"FRACILE",IF(D18&gt;F18,"Vivoire","hoà")))</f>
        <v>chưa rõ</v>
      </c>
      <c r="H18" s="25" t="s">
        <v>108</v>
      </c>
      <c r="I18" s="30" t="s">
        <v>173</v>
      </c>
    </row>
    <row r="19" ht="44" customHeight="1" spans="1:9" x14ac:dyDescent="0.25">
      <c r="A19" s="19" t="s">
        <v>13</v>
      </c>
      <c r="B19" s="20" t="s">
        <v>174</v>
      </c>
      <c r="C19" s="21" t="s">
        <v>175</v>
      </c>
      <c r="D19" s="22">
        <v>2</v>
      </c>
      <c r="E19" s="21" t="s">
        <v>176</v>
      </c>
      <c r="F19" s="22">
        <v>1</v>
      </c>
      <c r="G19" s="23" t="str">
        <f>IF(OR(D19="",F19=""),"chưa rõ",IF(F19&gt;D19,"FRACILE",IF(D19&gt;F19,"Vivoire","hoà")))</f>
        <v>Vivoire</v>
      </c>
      <c r="H19" s="19" t="s">
        <v>177</v>
      </c>
      <c r="I19" s="24" t="s">
        <v>178</v>
      </c>
    </row>
    <row r="20" ht="44" customHeight="1" spans="1:9" x14ac:dyDescent="0.25">
      <c r="A20" s="25" t="s">
        <v>13</v>
      </c>
      <c r="B20" s="26" t="s">
        <v>179</v>
      </c>
      <c r="C20" s="27" t="s">
        <v>111</v>
      </c>
      <c r="D20" s="28">
        <v>0</v>
      </c>
      <c r="E20" s="27" t="s">
        <v>180</v>
      </c>
      <c r="F20" s="28">
        <v>2</v>
      </c>
      <c r="G20" s="29" t="str">
        <f>IF(OR(D20="",F20=""),"chưa rõ",IF(F20&gt;D20,"FRACILE",IF(D20&gt;F20,"Vivoire","hoà")))</f>
        <v>FRACILE</v>
      </c>
      <c r="H20" s="25" t="s">
        <v>108</v>
      </c>
      <c r="I20" s="30" t="s">
        <v>181</v>
      </c>
    </row>
    <row r="21" ht="44" customHeight="1" spans="1:9" x14ac:dyDescent="0.25">
      <c r="A21" s="19" t="s">
        <v>14</v>
      </c>
      <c r="B21" s="20" t="s">
        <v>182</v>
      </c>
      <c r="C21" s="21" t="s">
        <v>183</v>
      </c>
      <c r="D21" s="22">
        <v>2</v>
      </c>
      <c r="E21" s="21" t="s">
        <v>184</v>
      </c>
      <c r="F21" s="22">
        <v>2</v>
      </c>
      <c r="G21" s="23" t="str">
        <f>IF(OR(D21="",F21=""),"chưa rõ",IF(F21&gt;D21,"FRACILE",IF(D21&gt;F21,"Vivoire","hoà")))</f>
        <v>hoà</v>
      </c>
      <c r="H21" s="19" t="s">
        <v>185</v>
      </c>
      <c r="I21" s="24" t="s">
        <v>186</v>
      </c>
    </row>
    <row r="22" ht="44" customHeight="1" spans="1:9" x14ac:dyDescent="0.25">
      <c r="A22" s="25" t="s">
        <v>14</v>
      </c>
      <c r="B22" s="26" t="s">
        <v>187</v>
      </c>
      <c r="C22" s="27" t="s">
        <v>188</v>
      </c>
      <c r="D22" s="28"/>
      <c r="E22" s="27" t="s">
        <v>189</v>
      </c>
      <c r="F22" s="28">
        <v>2</v>
      </c>
      <c r="G22" s="29" t="str">
        <f>IF(OR(D22="",F22=""),"chưa rõ",IF(F22&gt;D22,"FRACILE",IF(D22&gt;F22,"Vivoire","hoà")))</f>
        <v>chưa rõ</v>
      </c>
      <c r="H22" s="25" t="s">
        <v>190</v>
      </c>
      <c r="I22" s="30" t="s">
        <v>191</v>
      </c>
    </row>
    <row r="23" ht="44" customHeight="1" spans="1:9" x14ac:dyDescent="0.25">
      <c r="A23" s="25" t="s">
        <v>14</v>
      </c>
      <c r="B23" s="26" t="s">
        <v>192</v>
      </c>
      <c r="C23" s="27" t="s">
        <v>111</v>
      </c>
      <c r="D23" s="28">
        <v>0</v>
      </c>
      <c r="E23" s="27" t="s">
        <v>193</v>
      </c>
      <c r="F23" s="28">
        <v>2</v>
      </c>
      <c r="G23" s="29" t="str">
        <f>IF(OR(D23="",F23=""),"chưa rõ",IF(F23&gt;D23,"FRACILE",IF(D23&gt;F23,"Vivoire","hoà")))</f>
        <v>FRACILE</v>
      </c>
      <c r="H23" s="25" t="s">
        <v>108</v>
      </c>
      <c r="I23" s="30" t="s">
        <v>194</v>
      </c>
    </row>
    <row r="24" ht="44" customHeight="1" spans="1:9" x14ac:dyDescent="0.25">
      <c r="A24" s="19" t="s">
        <v>14</v>
      </c>
      <c r="B24" s="20" t="s">
        <v>195</v>
      </c>
      <c r="C24" s="21" t="s">
        <v>196</v>
      </c>
      <c r="D24" s="22">
        <v>2</v>
      </c>
      <c r="E24" s="21" t="s">
        <v>197</v>
      </c>
      <c r="F24" s="22">
        <v>2</v>
      </c>
      <c r="G24" s="23" t="str">
        <f>IF(OR(D24="",F24=""),"chưa rõ",IF(F24&gt;D24,"FRACILE",IF(D24&gt;F24,"Vivoire","hoà")))</f>
        <v>hoà</v>
      </c>
      <c r="H24" s="19" t="s">
        <v>108</v>
      </c>
      <c r="I24" s="24" t="s">
        <v>198</v>
      </c>
    </row>
    <row r="25" ht="44" customHeight="1" spans="1:9" x14ac:dyDescent="0.25">
      <c r="A25" s="25" t="s">
        <v>14</v>
      </c>
      <c r="B25" s="26" t="s">
        <v>199</v>
      </c>
      <c r="C25" s="27" t="s">
        <v>111</v>
      </c>
      <c r="D25" s="28">
        <v>0</v>
      </c>
      <c r="E25" s="27" t="s">
        <v>200</v>
      </c>
      <c r="F25" s="28">
        <v>2</v>
      </c>
      <c r="G25" s="29" t="str">
        <f>IF(OR(D25="",F25=""),"chưa rõ",IF(F25&gt;D25,"FRACILE",IF(D25&gt;F25,"Vivoire","hoà")))</f>
        <v>FRACILE</v>
      </c>
      <c r="H25" s="25" t="s">
        <v>201</v>
      </c>
      <c r="I25" s="30" t="s">
        <v>202</v>
      </c>
    </row>
    <row r="26" ht="44" customHeight="1" spans="1:9" x14ac:dyDescent="0.25">
      <c r="A26" s="19" t="s">
        <v>14</v>
      </c>
      <c r="B26" s="20" t="s">
        <v>203</v>
      </c>
      <c r="C26" s="21" t="s">
        <v>204</v>
      </c>
      <c r="D26" s="22">
        <v>2</v>
      </c>
      <c r="E26" s="21" t="s">
        <v>205</v>
      </c>
      <c r="F26" s="22">
        <v>2</v>
      </c>
      <c r="G26" s="23" t="str">
        <f>IF(OR(D26="",F26=""),"chưa rõ",IF(F26&gt;D26,"FRACILE",IF(D26&gt;F26,"Vivoire","hoà")))</f>
        <v>hoà</v>
      </c>
      <c r="H26" s="19" t="s">
        <v>206</v>
      </c>
      <c r="I26" s="24" t="s">
        <v>207</v>
      </c>
    </row>
    <row r="27" ht="44" customHeight="1" spans="1:9" x14ac:dyDescent="0.25">
      <c r="A27" s="19" t="s">
        <v>14</v>
      </c>
      <c r="B27" s="20" t="s">
        <v>208</v>
      </c>
      <c r="C27" s="21" t="s">
        <v>209</v>
      </c>
      <c r="D27" s="22">
        <v>2</v>
      </c>
      <c r="E27" s="21" t="s">
        <v>210</v>
      </c>
      <c r="F27" s="22">
        <v>2</v>
      </c>
      <c r="G27" s="23" t="str">
        <f>IF(OR(D27="",F27=""),"chưa rõ",IF(F27&gt;D27,"FRACILE",IF(D27&gt;F27,"Vivoire","hoà")))</f>
        <v>hoà</v>
      </c>
      <c r="H27" s="19" t="s">
        <v>211</v>
      </c>
      <c r="I27" s="24" t="s">
        <v>212</v>
      </c>
    </row>
    <row r="28" ht="44" customHeight="1" spans="1:9" x14ac:dyDescent="0.25">
      <c r="A28" s="19" t="s">
        <v>14</v>
      </c>
      <c r="B28" s="20" t="s">
        <v>213</v>
      </c>
      <c r="C28" s="21" t="s">
        <v>214</v>
      </c>
      <c r="D28" s="22">
        <v>2</v>
      </c>
      <c r="E28" s="21" t="s">
        <v>215</v>
      </c>
      <c r="F28" s="22">
        <v>2</v>
      </c>
      <c r="G28" s="23" t="str">
        <f>IF(OR(D28="",F28=""),"chưa rõ",IF(F28&gt;D28,"FRACILE",IF(D28&gt;F28,"Vivoire","hoà")))</f>
        <v>hoà</v>
      </c>
      <c r="H28" s="19" t="s">
        <v>216</v>
      </c>
      <c r="I28" s="24" t="s">
        <v>217</v>
      </c>
    </row>
    <row r="29" ht="44" customHeight="1" spans="1:9" x14ac:dyDescent="0.25">
      <c r="A29" s="25" t="s">
        <v>14</v>
      </c>
      <c r="B29" s="26" t="s">
        <v>218</v>
      </c>
      <c r="C29" s="27" t="s">
        <v>111</v>
      </c>
      <c r="D29" s="28">
        <v>0</v>
      </c>
      <c r="E29" s="27" t="s">
        <v>219</v>
      </c>
      <c r="F29" s="28">
        <v>2</v>
      </c>
      <c r="G29" s="29" t="str">
        <f>IF(OR(D29="",F29=""),"chưa rõ",IF(F29&gt;D29,"FRACILE",IF(D29&gt;F29,"Vivoire","hoà")))</f>
        <v>FRACILE</v>
      </c>
      <c r="H29" s="25" t="s">
        <v>108</v>
      </c>
      <c r="I29" s="30" t="s">
        <v>220</v>
      </c>
    </row>
    <row r="30" ht="44" customHeight="1" spans="1:9" x14ac:dyDescent="0.25">
      <c r="A30" s="19" t="s">
        <v>14</v>
      </c>
      <c r="B30" s="20" t="s">
        <v>221</v>
      </c>
      <c r="C30" s="21" t="s">
        <v>222</v>
      </c>
      <c r="D30" s="22">
        <v>2</v>
      </c>
      <c r="E30" s="21" t="s">
        <v>223</v>
      </c>
      <c r="F30" s="22">
        <v>2</v>
      </c>
      <c r="G30" s="23" t="str">
        <f>IF(OR(D30="",F30=""),"chưa rõ",IF(F30&gt;D30,"FRACILE",IF(D30&gt;F30,"Vivoire","hoà")))</f>
        <v>hoà</v>
      </c>
      <c r="H30" s="19" t="s">
        <v>108</v>
      </c>
      <c r="I30" s="24" t="s">
        <v>224</v>
      </c>
    </row>
    <row r="31" ht="44" customHeight="1" spans="1:9" x14ac:dyDescent="0.25">
      <c r="A31" s="25" t="s">
        <v>15</v>
      </c>
      <c r="B31" s="26" t="s">
        <v>225</v>
      </c>
      <c r="C31" s="27" t="s">
        <v>111</v>
      </c>
      <c r="D31" s="28">
        <v>0</v>
      </c>
      <c r="E31" s="27" t="s">
        <v>226</v>
      </c>
      <c r="F31" s="28">
        <v>2</v>
      </c>
      <c r="G31" s="29" t="str">
        <f>IF(OR(D31="",F31=""),"chưa rõ",IF(F31&gt;D31,"FRACILE",IF(D31&gt;F31,"Vivoire","hoà")))</f>
        <v>FRACILE</v>
      </c>
      <c r="H31" s="25" t="s">
        <v>108</v>
      </c>
      <c r="I31" s="30" t="s">
        <v>227</v>
      </c>
    </row>
    <row r="32" ht="44" customHeight="1" spans="1:9" x14ac:dyDescent="0.25">
      <c r="A32" s="25" t="s">
        <v>15</v>
      </c>
      <c r="B32" s="26" t="s">
        <v>228</v>
      </c>
      <c r="C32" s="27" t="s">
        <v>111</v>
      </c>
      <c r="D32" s="28">
        <v>0</v>
      </c>
      <c r="E32" s="27" t="s">
        <v>229</v>
      </c>
      <c r="F32" s="28">
        <v>2</v>
      </c>
      <c r="G32" s="29" t="str">
        <f>IF(OR(D32="",F32=""),"chưa rõ",IF(F32&gt;D32,"FRACILE",IF(D32&gt;F32,"Vivoire","hoà")))</f>
        <v>FRACILE</v>
      </c>
      <c r="H32" s="25" t="s">
        <v>230</v>
      </c>
      <c r="I32" s="30" t="s">
        <v>231</v>
      </c>
    </row>
    <row r="33" ht="44" customHeight="1" spans="1:9" x14ac:dyDescent="0.25">
      <c r="A33" s="25" t="s">
        <v>15</v>
      </c>
      <c r="B33" s="26" t="s">
        <v>232</v>
      </c>
      <c r="C33" s="27" t="s">
        <v>111</v>
      </c>
      <c r="D33" s="28">
        <v>0</v>
      </c>
      <c r="E33" s="27" t="s">
        <v>233</v>
      </c>
      <c r="F33" s="28">
        <v>2</v>
      </c>
      <c r="G33" s="29" t="str">
        <f>IF(OR(D33="",F33=""),"chưa rõ",IF(F33&gt;D33,"FRACILE",IF(D33&gt;F33,"Vivoire","hoà")))</f>
        <v>FRACILE</v>
      </c>
      <c r="H33" s="25" t="s">
        <v>230</v>
      </c>
      <c r="I33" s="30" t="s">
        <v>234</v>
      </c>
    </row>
    <row r="34" ht="44" customHeight="1" spans="1:9" x14ac:dyDescent="0.25">
      <c r="A34" s="25" t="s">
        <v>15</v>
      </c>
      <c r="B34" s="26" t="s">
        <v>235</v>
      </c>
      <c r="C34" s="27" t="s">
        <v>111</v>
      </c>
      <c r="D34" s="28">
        <v>0</v>
      </c>
      <c r="E34" s="27" t="s">
        <v>236</v>
      </c>
      <c r="F34" s="28">
        <v>2</v>
      </c>
      <c r="G34" s="29" t="str">
        <f>IF(OR(D34="",F34=""),"chưa rõ",IF(F34&gt;D34,"FRACILE",IF(D34&gt;F34,"Vivoire","hoà")))</f>
        <v>FRACILE</v>
      </c>
      <c r="H34" s="25" t="s">
        <v>230</v>
      </c>
      <c r="I34" s="30" t="s">
        <v>237</v>
      </c>
    </row>
    <row r="35" ht="44" customHeight="1" spans="1:9" x14ac:dyDescent="0.25">
      <c r="A35" s="25" t="s">
        <v>15</v>
      </c>
      <c r="B35" s="26" t="s">
        <v>238</v>
      </c>
      <c r="C35" s="27" t="s">
        <v>111</v>
      </c>
      <c r="D35" s="28">
        <v>0</v>
      </c>
      <c r="E35" s="27" t="s">
        <v>239</v>
      </c>
      <c r="F35" s="28">
        <v>2</v>
      </c>
      <c r="G35" s="29" t="str">
        <f>IF(OR(D35="",F35=""),"chưa rõ",IF(F35&gt;D35,"FRACILE",IF(D35&gt;F35,"Vivoire","hoà")))</f>
        <v>FRACILE</v>
      </c>
      <c r="H35" s="25" t="s">
        <v>240</v>
      </c>
      <c r="I35" s="30" t="s">
        <v>241</v>
      </c>
    </row>
    <row r="36" ht="44" customHeight="1" spans="1:9" x14ac:dyDescent="0.25">
      <c r="A36" s="19" t="s">
        <v>15</v>
      </c>
      <c r="B36" s="20" t="s">
        <v>242</v>
      </c>
      <c r="C36" s="21" t="s">
        <v>153</v>
      </c>
      <c r="D36" s="22">
        <v>2</v>
      </c>
      <c r="E36" s="21" t="s">
        <v>153</v>
      </c>
      <c r="F36" s="22">
        <v>2</v>
      </c>
      <c r="G36" s="23" t="str">
        <f>IF(OR(D36="",F36=""),"chưa rõ",IF(F36&gt;D36,"FRACILE",IF(D36&gt;F36,"Vivoire","hoà")))</f>
        <v>hoà</v>
      </c>
      <c r="H36" s="19" t="s">
        <v>230</v>
      </c>
      <c r="I36" s="24" t="s">
        <v>243</v>
      </c>
    </row>
    <row r="37" ht="44" customHeight="1" spans="1:9" x14ac:dyDescent="0.25">
      <c r="A37" s="19" t="s">
        <v>15</v>
      </c>
      <c r="B37" s="20" t="s">
        <v>244</v>
      </c>
      <c r="C37" s="21" t="s">
        <v>245</v>
      </c>
      <c r="D37" s="22">
        <v>2</v>
      </c>
      <c r="E37" s="21" t="s">
        <v>246</v>
      </c>
      <c r="F37" s="22">
        <v>1</v>
      </c>
      <c r="G37" s="23" t="str">
        <f>IF(OR(D37="",F37=""),"chưa rõ",IF(F37&gt;D37,"FRACILE",IF(D37&gt;F37,"Vivoire","hoà")))</f>
        <v>Vivoire</v>
      </c>
      <c r="H37" s="19" t="s">
        <v>247</v>
      </c>
      <c r="I37" s="24" t="s">
        <v>248</v>
      </c>
    </row>
    <row r="38" ht="44" customHeight="1" spans="1:9" x14ac:dyDescent="0.25">
      <c r="A38" s="19" t="s">
        <v>15</v>
      </c>
      <c r="B38" s="20" t="s">
        <v>249</v>
      </c>
      <c r="C38" s="21" t="s">
        <v>153</v>
      </c>
      <c r="D38" s="22">
        <v>2</v>
      </c>
      <c r="E38" s="21" t="s">
        <v>250</v>
      </c>
      <c r="F38" s="22">
        <v>2</v>
      </c>
      <c r="G38" s="23" t="str">
        <f>IF(OR(D38="",F38=""),"chưa rõ",IF(F38&gt;D38,"FRACILE",IF(D38&gt;F38,"Vivoire","hoà")))</f>
        <v>hoà</v>
      </c>
      <c r="H38" s="19" t="s">
        <v>230</v>
      </c>
      <c r="I38" s="24" t="s">
        <v>251</v>
      </c>
    </row>
    <row r="39" ht="44" customHeight="1" spans="1:9" x14ac:dyDescent="0.25">
      <c r="A39" s="31" t="s">
        <v>15</v>
      </c>
      <c r="B39" s="32" t="s">
        <v>252</v>
      </c>
      <c r="C39" s="33" t="s">
        <v>253</v>
      </c>
      <c r="D39" s="34">
        <v>2</v>
      </c>
      <c r="E39" s="33" t="s">
        <v>254</v>
      </c>
      <c r="F39" s="34">
        <v>0</v>
      </c>
      <c r="G39" s="35" t="str">
        <f>IF(OR(D39="",F39=""),"chưa rõ",IF(F39&gt;D39,"FRACILE",IF(D39&gt;F39,"Vivoire","hoà")))</f>
        <v>Vivoire</v>
      </c>
      <c r="H39" s="31" t="s">
        <v>131</v>
      </c>
      <c r="I39" s="36" t="s">
        <v>255</v>
      </c>
    </row>
    <row r="40" ht="44" customHeight="1" spans="1:9" x14ac:dyDescent="0.25">
      <c r="A40" s="19" t="s">
        <v>15</v>
      </c>
      <c r="B40" s="20" t="s">
        <v>256</v>
      </c>
      <c r="C40" s="21" t="s">
        <v>171</v>
      </c>
      <c r="D40" s="22"/>
      <c r="E40" s="21" t="s">
        <v>257</v>
      </c>
      <c r="F40" s="22">
        <v>1</v>
      </c>
      <c r="G40" s="23" t="str">
        <f>IF(OR(D40="",F40=""),"chưa rõ",IF(F40&gt;D40,"FRACILE",IF(D40&gt;F40,"Vivoire","hoà")))</f>
        <v>chưa rõ</v>
      </c>
      <c r="H40" s="19" t="s">
        <v>108</v>
      </c>
      <c r="I40" s="24" t="s">
        <v>258</v>
      </c>
    </row>
    <row r="41" ht="44" customHeight="1" spans="1:9" x14ac:dyDescent="0.25">
      <c r="A41" s="31" t="s">
        <v>15</v>
      </c>
      <c r="B41" s="32" t="s">
        <v>259</v>
      </c>
      <c r="C41" s="33" t="s">
        <v>111</v>
      </c>
      <c r="D41" s="34">
        <v>0</v>
      </c>
      <c r="E41" s="33" t="s">
        <v>260</v>
      </c>
      <c r="F41" s="34">
        <v>0</v>
      </c>
      <c r="G41" s="35" t="str">
        <f>IF(OR(D41="",F41=""),"chưa rõ",IF(F41&gt;D41,"FRACILE",IF(D41&gt;F41,"Vivoire","hoà")))</f>
        <v>hoà</v>
      </c>
      <c r="H41" s="31" t="s">
        <v>131</v>
      </c>
      <c r="I41" s="36" t="s">
        <v>261</v>
      </c>
    </row>
    <row r="42" ht="44" customHeight="1" spans="1:9" x14ac:dyDescent="0.25">
      <c r="A42" s="25" t="s">
        <v>15</v>
      </c>
      <c r="B42" s="26" t="s">
        <v>262</v>
      </c>
      <c r="C42" s="27" t="s">
        <v>111</v>
      </c>
      <c r="D42" s="28">
        <v>0</v>
      </c>
      <c r="E42" s="27" t="s">
        <v>263</v>
      </c>
      <c r="F42" s="28">
        <v>2</v>
      </c>
      <c r="G42" s="29" t="str">
        <f>IF(OR(D42="",F42=""),"chưa rõ",IF(F42&gt;D42,"FRACILE",IF(D42&gt;F42,"Vivoire","hoà")))</f>
        <v>FRACILE</v>
      </c>
      <c r="H42" s="25" t="s">
        <v>264</v>
      </c>
      <c r="I42" s="30" t="s">
        <v>265</v>
      </c>
    </row>
    <row r="43" ht="44" customHeight="1" spans="1:9" x14ac:dyDescent="0.25">
      <c r="A43" s="25" t="s">
        <v>15</v>
      </c>
      <c r="B43" s="26" t="s">
        <v>266</v>
      </c>
      <c r="C43" s="27" t="s">
        <v>111</v>
      </c>
      <c r="D43" s="28">
        <v>0</v>
      </c>
      <c r="E43" s="27" t="s">
        <v>267</v>
      </c>
      <c r="F43" s="28">
        <v>2</v>
      </c>
      <c r="G43" s="29" t="str">
        <f>IF(OR(D43="",F43=""),"chưa rõ",IF(F43&gt;D43,"FRACILE",IF(D43&gt;F43,"Vivoire","hoà")))</f>
        <v>FRACILE</v>
      </c>
      <c r="H43" s="25" t="s">
        <v>268</v>
      </c>
      <c r="I43" s="30" t="s">
        <v>269</v>
      </c>
    </row>
    <row r="44" ht="44" customHeight="1" spans="1:9" x14ac:dyDescent="0.25">
      <c r="A44" s="19" t="s">
        <v>16</v>
      </c>
      <c r="B44" s="20" t="s">
        <v>270</v>
      </c>
      <c r="C44" s="21" t="s">
        <v>153</v>
      </c>
      <c r="D44" s="22">
        <v>2</v>
      </c>
      <c r="E44" s="21" t="s">
        <v>153</v>
      </c>
      <c r="F44" s="22">
        <v>2</v>
      </c>
      <c r="G44" s="23" t="str">
        <f>IF(OR(D44="",F44=""),"chưa rõ",IF(F44&gt;D44,"FRACILE",IF(D44&gt;F44,"Vivoire","hoà")))</f>
        <v>hoà</v>
      </c>
      <c r="H44" s="19" t="s">
        <v>108</v>
      </c>
      <c r="I44" s="24" t="s">
        <v>271</v>
      </c>
    </row>
    <row r="45" ht="44" customHeight="1" spans="1:9" x14ac:dyDescent="0.25">
      <c r="A45" s="19" t="s">
        <v>16</v>
      </c>
      <c r="B45" s="20" t="s">
        <v>272</v>
      </c>
      <c r="C45" s="21" t="s">
        <v>153</v>
      </c>
      <c r="D45" s="22">
        <v>2</v>
      </c>
      <c r="E45" s="21" t="s">
        <v>273</v>
      </c>
      <c r="F45" s="22">
        <v>1</v>
      </c>
      <c r="G45" s="23" t="str">
        <f>IF(OR(D45="",F45=""),"chưa rõ",IF(F45&gt;D45,"FRACILE",IF(D45&gt;F45,"Vivoire","hoà")))</f>
        <v>Vivoire</v>
      </c>
      <c r="H45" s="19" t="s">
        <v>108</v>
      </c>
      <c r="I45" s="24" t="s">
        <v>274</v>
      </c>
    </row>
    <row r="46" ht="44" customHeight="1" spans="1:9" x14ac:dyDescent="0.25">
      <c r="A46" s="25" t="s">
        <v>16</v>
      </c>
      <c r="B46" s="26" t="s">
        <v>275</v>
      </c>
      <c r="C46" s="27" t="s">
        <v>276</v>
      </c>
      <c r="D46" s="28">
        <v>1</v>
      </c>
      <c r="E46" s="27" t="s">
        <v>277</v>
      </c>
      <c r="F46" s="28">
        <v>2</v>
      </c>
      <c r="G46" s="29" t="str">
        <f>IF(OR(D46="",F46=""),"chưa rõ",IF(F46&gt;D46,"FRACILE",IF(D46&gt;F46,"Vivoire","hoà")))</f>
        <v>FRACILE</v>
      </c>
      <c r="H46" s="25" t="s">
        <v>278</v>
      </c>
      <c r="I46" s="30" t="s">
        <v>279</v>
      </c>
    </row>
    <row r="47" ht="44" customHeight="1" spans="1:9" x14ac:dyDescent="0.25">
      <c r="A47" s="25" t="s">
        <v>16</v>
      </c>
      <c r="B47" s="26" t="s">
        <v>280</v>
      </c>
      <c r="C47" s="27" t="s">
        <v>281</v>
      </c>
      <c r="D47" s="28"/>
      <c r="E47" s="27" t="s">
        <v>282</v>
      </c>
      <c r="F47" s="28">
        <v>2</v>
      </c>
      <c r="G47" s="29" t="str">
        <f>IF(OR(D47="",F47=""),"chưa rõ",IF(F47&gt;D47,"FRACILE",IF(D47&gt;F47,"Vivoire","hoà")))</f>
        <v>chưa rõ</v>
      </c>
      <c r="H47" s="25" t="s">
        <v>283</v>
      </c>
      <c r="I47" s="30" t="s">
        <v>284</v>
      </c>
    </row>
    <row r="48" ht="44" customHeight="1" spans="1:9" x14ac:dyDescent="0.25">
      <c r="A48" s="19" t="s">
        <v>17</v>
      </c>
      <c r="B48" s="20" t="s">
        <v>285</v>
      </c>
      <c r="C48" s="21" t="s">
        <v>153</v>
      </c>
      <c r="D48" s="22">
        <v>2</v>
      </c>
      <c r="E48" s="21" t="s">
        <v>286</v>
      </c>
      <c r="F48" s="22">
        <v>2</v>
      </c>
      <c r="G48" s="23" t="str">
        <f>IF(OR(D48="",F48=""),"chưa rõ",IF(F48&gt;D48,"FRACILE",IF(D48&gt;F48,"Vivoire","hoà")))</f>
        <v>hoà</v>
      </c>
      <c r="H48" s="19" t="s">
        <v>108</v>
      </c>
      <c r="I48" s="24" t="s">
        <v>287</v>
      </c>
    </row>
    <row r="49" ht="44" customHeight="1" spans="1:9" x14ac:dyDescent="0.25">
      <c r="A49" s="19" t="s">
        <v>17</v>
      </c>
      <c r="B49" s="20" t="s">
        <v>288</v>
      </c>
      <c r="C49" s="21" t="s">
        <v>153</v>
      </c>
      <c r="D49" s="22">
        <v>2</v>
      </c>
      <c r="E49" s="21" t="s">
        <v>289</v>
      </c>
      <c r="F49" s="22">
        <v>1</v>
      </c>
      <c r="G49" s="23" t="str">
        <f>IF(OR(D49="",F49=""),"chưa rõ",IF(F49&gt;D49,"FRACILE",IF(D49&gt;F49,"Vivoire","hoà")))</f>
        <v>Vivoire</v>
      </c>
      <c r="H49" s="19" t="s">
        <v>290</v>
      </c>
      <c r="I49" s="24" t="s">
        <v>291</v>
      </c>
    </row>
    <row r="50" ht="44" customHeight="1" spans="1:9" x14ac:dyDescent="0.25">
      <c r="A50" s="19" t="s">
        <v>17</v>
      </c>
      <c r="B50" s="20" t="s">
        <v>37</v>
      </c>
      <c r="C50" s="21" t="s">
        <v>153</v>
      </c>
      <c r="D50" s="22">
        <v>2</v>
      </c>
      <c r="E50" s="21" t="s">
        <v>292</v>
      </c>
      <c r="F50" s="22">
        <v>1</v>
      </c>
      <c r="G50" s="23" t="str">
        <f>IF(OR(D50="",F50=""),"chưa rõ",IF(F50&gt;D50,"FRACILE",IF(D50&gt;F50,"Vivoire","hoà")))</f>
        <v>Vivoire</v>
      </c>
      <c r="H50" s="19" t="s">
        <v>290</v>
      </c>
      <c r="I50" s="24" t="s">
        <v>293</v>
      </c>
    </row>
    <row r="51" ht="44" customHeight="1" spans="1:9" x14ac:dyDescent="0.25">
      <c r="A51" s="19" t="s">
        <v>17</v>
      </c>
      <c r="B51" s="20" t="s">
        <v>294</v>
      </c>
      <c r="C51" s="21" t="s">
        <v>295</v>
      </c>
      <c r="D51" s="22">
        <v>2</v>
      </c>
      <c r="E51" s="21" t="s">
        <v>296</v>
      </c>
      <c r="F51" s="22">
        <v>1</v>
      </c>
      <c r="G51" s="23" t="str">
        <f>IF(OR(D51="",F51=""),"chưa rõ",IF(F51&gt;D51,"FRACILE",IF(D51&gt;F51,"Vivoire","hoà")))</f>
        <v>Vivoire</v>
      </c>
      <c r="H51" s="19" t="s">
        <v>108</v>
      </c>
      <c r="I51" s="24" t="s">
        <v>297</v>
      </c>
    </row>
    <row r="52" ht="44" customHeight="1" spans="1:9" x14ac:dyDescent="0.25">
      <c r="A52" s="25" t="s">
        <v>17</v>
      </c>
      <c r="B52" s="26" t="s">
        <v>298</v>
      </c>
      <c r="C52" s="27" t="s">
        <v>299</v>
      </c>
      <c r="D52" s="28">
        <v>1</v>
      </c>
      <c r="E52" s="27" t="s">
        <v>300</v>
      </c>
      <c r="F52" s="28">
        <v>2</v>
      </c>
      <c r="G52" s="29" t="str">
        <f>IF(OR(D52="",F52=""),"chưa rõ",IF(F52&gt;D52,"FRACILE",IF(D52&gt;F52,"Vivoire","hoà")))</f>
        <v>FRACILE</v>
      </c>
      <c r="H52" s="25" t="s">
        <v>108</v>
      </c>
      <c r="I52" s="30" t="s">
        <v>301</v>
      </c>
    </row>
    <row r="53" ht="44" customHeight="1" spans="1:9" x14ac:dyDescent="0.25">
      <c r="A53" s="25" t="s">
        <v>17</v>
      </c>
      <c r="B53" s="26" t="s">
        <v>302</v>
      </c>
      <c r="C53" s="27" t="s">
        <v>111</v>
      </c>
      <c r="D53" s="28">
        <v>0</v>
      </c>
      <c r="E53" s="27" t="s">
        <v>303</v>
      </c>
      <c r="F53" s="28">
        <v>2</v>
      </c>
      <c r="G53" s="29" t="str">
        <f>IF(OR(D53="",F53=""),"chưa rõ",IF(F53&gt;D53,"FRACILE",IF(D53&gt;F53,"Vivoire","hoà")))</f>
        <v>FRACILE</v>
      </c>
      <c r="H53" s="25" t="s">
        <v>108</v>
      </c>
      <c r="I53" s="30" t="s">
        <v>304</v>
      </c>
    </row>
    <row r="54" ht="44" customHeight="1" spans="1:9" x14ac:dyDescent="0.25">
      <c r="A54" s="25" t="s">
        <v>12</v>
      </c>
      <c r="B54" s="26" t="s">
        <v>305</v>
      </c>
      <c r="C54" s="27" t="s">
        <v>111</v>
      </c>
      <c r="D54" s="28">
        <v>0</v>
      </c>
      <c r="E54" s="27" t="s">
        <v>306</v>
      </c>
      <c r="F54" s="28">
        <v>2</v>
      </c>
      <c r="G54" s="29" t="str">
        <f>IF(OR(D54="",F54=""),"chưa rõ",IF(F54&gt;D54,"FRACILE",IF(D54&gt;F54,"Vivoire","hoà")))</f>
        <v>FRACILE</v>
      </c>
      <c r="H54" s="25" t="s">
        <v>108</v>
      </c>
      <c r="I54" s="30" t="s">
        <v>307</v>
      </c>
    </row>
    <row r="55" ht="44" customHeight="1" spans="1:9" x14ac:dyDescent="0.25">
      <c r="A55" s="25" t="s">
        <v>13</v>
      </c>
      <c r="B55" s="26" t="s">
        <v>308</v>
      </c>
      <c r="C55" s="27" t="s">
        <v>111</v>
      </c>
      <c r="D55" s="28">
        <v>0</v>
      </c>
      <c r="E55" s="27" t="s">
        <v>309</v>
      </c>
      <c r="F55" s="28">
        <v>2</v>
      </c>
      <c r="G55" s="29" t="str">
        <f>IF(OR(D55="",F55=""),"chưa rõ",IF(F55&gt;D55,"FRACILE",IF(D55&gt;F55,"Vivoire","hoà")))</f>
        <v>FRACILE</v>
      </c>
      <c r="H55" s="25" t="s">
        <v>310</v>
      </c>
      <c r="I55" s="30" t="s">
        <v>311</v>
      </c>
    </row>
    <row r="56" ht="44" customHeight="1" spans="1:9" x14ac:dyDescent="0.25">
      <c r="A56" s="25" t="s">
        <v>15</v>
      </c>
      <c r="B56" s="26" t="s">
        <v>312</v>
      </c>
      <c r="C56" s="27" t="s">
        <v>111</v>
      </c>
      <c r="D56" s="28">
        <v>0</v>
      </c>
      <c r="E56" s="27" t="s">
        <v>313</v>
      </c>
      <c r="F56" s="28">
        <v>2</v>
      </c>
      <c r="G56" s="29" t="str">
        <f>IF(OR(D56="",F56=""),"chưa rõ",IF(F56&gt;D56,"FRACILE",IF(D56&gt;F56,"Vivoire","hoà")))</f>
        <v>FRACILE</v>
      </c>
      <c r="H56" s="25" t="s">
        <v>314</v>
      </c>
      <c r="I56" s="30" t="s">
        <v>315</v>
      </c>
    </row>
    <row r="57" ht="44" customHeight="1" spans="1:9" x14ac:dyDescent="0.25">
      <c r="A57" s="25" t="s">
        <v>14</v>
      </c>
      <c r="B57" s="26" t="s">
        <v>316</v>
      </c>
      <c r="C57" s="27" t="s">
        <v>111</v>
      </c>
      <c r="D57" s="28">
        <v>0</v>
      </c>
      <c r="E57" s="27" t="s">
        <v>317</v>
      </c>
      <c r="F57" s="28">
        <v>2</v>
      </c>
      <c r="G57" s="29" t="str">
        <f>IF(OR(D57="",F57=""),"chưa rõ",IF(F57&gt;D57,"FRACILE",IF(D57&gt;F57,"Vivoire","hoà")))</f>
        <v>FRACILE</v>
      </c>
      <c r="H57" s="25" t="s">
        <v>318</v>
      </c>
      <c r="I57" s="30" t="s">
        <v>319</v>
      </c>
    </row>
    <row r="58" ht="44" customHeight="1" spans="1:9" x14ac:dyDescent="0.25">
      <c r="A58" s="19" t="s">
        <v>13</v>
      </c>
      <c r="B58" s="20" t="s">
        <v>320</v>
      </c>
      <c r="C58" s="21" t="s">
        <v>321</v>
      </c>
      <c r="D58" s="22">
        <v>2</v>
      </c>
      <c r="E58" s="21" t="s">
        <v>322</v>
      </c>
      <c r="F58" s="22">
        <v>1</v>
      </c>
      <c r="G58" s="23" t="str">
        <f>IF(OR(D58="",F58=""),"chưa rõ",IF(F58&gt;D58,"FRACILE",IF(D58&gt;F58,"Vivoire","hoà")))</f>
        <v>Vivoire</v>
      </c>
      <c r="H58" s="19" t="s">
        <v>323</v>
      </c>
      <c r="I58" s="24" t="s">
        <v>324</v>
      </c>
    </row>
    <row r="59" ht="44" customHeight="1" spans="1:9" x14ac:dyDescent="0.25">
      <c r="A59" s="19" t="s">
        <v>13</v>
      </c>
      <c r="B59" s="20" t="s">
        <v>325</v>
      </c>
      <c r="C59" s="21" t="s">
        <v>326</v>
      </c>
      <c r="D59" s="22">
        <v>2</v>
      </c>
      <c r="E59" s="21" t="s">
        <v>327</v>
      </c>
      <c r="F59" s="22">
        <v>2</v>
      </c>
      <c r="G59" s="23" t="str">
        <f>IF(OR(D59="",F59=""),"chưa rõ",IF(F59&gt;D59,"FRACILE",IF(D59&gt;F59,"Vivoire","hoà")))</f>
        <v>hoà</v>
      </c>
      <c r="H59" s="19" t="s">
        <v>328</v>
      </c>
      <c r="I59" s="24" t="s">
        <v>329</v>
      </c>
    </row>
    <row r="60" ht="44" customHeight="1" spans="1:9" x14ac:dyDescent="0.25">
      <c r="A60" s="19" t="s">
        <v>13</v>
      </c>
      <c r="B60" s="20" t="s">
        <v>330</v>
      </c>
      <c r="C60" s="21" t="s">
        <v>331</v>
      </c>
      <c r="D60" s="22">
        <v>2</v>
      </c>
      <c r="E60" s="21" t="s">
        <v>332</v>
      </c>
      <c r="F60" s="22">
        <v>2</v>
      </c>
      <c r="G60" s="23" t="str">
        <f>IF(OR(D60="",F60=""),"chưa rõ",IF(F60&gt;D60,"FRACILE",IF(D60&gt;F60,"Vivoire","hoà")))</f>
        <v>hoà</v>
      </c>
      <c r="H60" s="19" t="s">
        <v>333</v>
      </c>
      <c r="I60" s="24" t="s">
        <v>334</v>
      </c>
    </row>
    <row r="61" ht="44" customHeight="1" spans="1:9" x14ac:dyDescent="0.25">
      <c r="A61" s="25" t="s">
        <v>14</v>
      </c>
      <c r="B61" s="26" t="s">
        <v>335</v>
      </c>
      <c r="C61" s="27" t="s">
        <v>336</v>
      </c>
      <c r="D61" s="28">
        <v>0</v>
      </c>
      <c r="E61" s="27" t="s">
        <v>337</v>
      </c>
      <c r="F61" s="28">
        <v>2</v>
      </c>
      <c r="G61" s="29" t="str">
        <f>IF(OR(D61="",F61=""),"chưa rõ",IF(F61&gt;D61,"FRACILE",IF(D61&gt;F61,"Vivoire","hoà")))</f>
        <v>FRACILE</v>
      </c>
      <c r="H61" s="25" t="s">
        <v>185</v>
      </c>
      <c r="I61" s="30" t="s">
        <v>338</v>
      </c>
    </row>
    <row r="62" ht="44" customHeight="1" spans="1:9" x14ac:dyDescent="0.25">
      <c r="A62" s="25" t="s">
        <v>14</v>
      </c>
      <c r="B62" s="26" t="s">
        <v>339</v>
      </c>
      <c r="C62" s="27" t="s">
        <v>340</v>
      </c>
      <c r="D62" s="28">
        <v>0</v>
      </c>
      <c r="E62" s="27" t="s">
        <v>341</v>
      </c>
      <c r="F62" s="28">
        <v>2</v>
      </c>
      <c r="G62" s="29" t="str">
        <f>IF(OR(D62="",F62=""),"chưa rõ",IF(F62&gt;D62,"FRACILE",IF(D62&gt;F62,"Vivoire","hoà")))</f>
        <v>FRACILE</v>
      </c>
      <c r="H62" s="25" t="s">
        <v>342</v>
      </c>
      <c r="I62" s="30" t="s">
        <v>343</v>
      </c>
    </row>
    <row r="63" ht="44" customHeight="1" spans="1:9" x14ac:dyDescent="0.25">
      <c r="A63" s="25" t="s">
        <v>14</v>
      </c>
      <c r="B63" s="26" t="s">
        <v>344</v>
      </c>
      <c r="C63" s="27" t="s">
        <v>345</v>
      </c>
      <c r="D63" s="28">
        <v>0</v>
      </c>
      <c r="E63" s="27" t="s">
        <v>346</v>
      </c>
      <c r="F63" s="28">
        <v>2</v>
      </c>
      <c r="G63" s="29" t="str">
        <f>IF(OR(D63="",F63=""),"chưa rõ",IF(F63&gt;D63,"FRACILE",IF(D63&gt;F63,"Vivoire","hoà")))</f>
        <v>FRACILE</v>
      </c>
      <c r="H63" s="25" t="s">
        <v>108</v>
      </c>
      <c r="I63" s="30" t="s">
        <v>347</v>
      </c>
    </row>
    <row r="64" ht="44" customHeight="1" spans="1:9" x14ac:dyDescent="0.25">
      <c r="A64" s="25" t="s">
        <v>14</v>
      </c>
      <c r="B64" s="26" t="s">
        <v>348</v>
      </c>
      <c r="C64" s="27" t="s">
        <v>345</v>
      </c>
      <c r="D64" s="28">
        <v>0</v>
      </c>
      <c r="E64" s="27" t="s">
        <v>349</v>
      </c>
      <c r="F64" s="28">
        <v>2</v>
      </c>
      <c r="G64" s="29" t="str">
        <f>IF(OR(D64="",F64=""),"chưa rõ",IF(F64&gt;D64,"FRACILE",IF(D64&gt;F64,"Vivoire","hoà")))</f>
        <v>FRACILE</v>
      </c>
      <c r="H64" s="25" t="s">
        <v>350</v>
      </c>
      <c r="I64" s="30" t="s">
        <v>351</v>
      </c>
    </row>
    <row r="65" ht="44" customHeight="1" spans="1:9" x14ac:dyDescent="0.25">
      <c r="A65" s="25" t="s">
        <v>14</v>
      </c>
      <c r="B65" s="26" t="s">
        <v>352</v>
      </c>
      <c r="C65" s="27" t="s">
        <v>345</v>
      </c>
      <c r="D65" s="28">
        <v>0</v>
      </c>
      <c r="E65" s="27" t="s">
        <v>353</v>
      </c>
      <c r="F65" s="28">
        <v>2</v>
      </c>
      <c r="G65" s="29" t="str">
        <f>IF(OR(D65="",F65=""),"chưa rõ",IF(F65&gt;D65,"FRACILE",IF(D65&gt;F65,"Vivoire","hoà")))</f>
        <v>FRACILE</v>
      </c>
      <c r="H65" s="25" t="s">
        <v>354</v>
      </c>
      <c r="I65" s="30" t="s">
        <v>355</v>
      </c>
    </row>
    <row r="66" ht="44" customHeight="1" spans="1:9" x14ac:dyDescent="0.25">
      <c r="A66" s="25" t="s">
        <v>14</v>
      </c>
      <c r="B66" s="26" t="s">
        <v>356</v>
      </c>
      <c r="C66" s="27" t="s">
        <v>111</v>
      </c>
      <c r="D66" s="28">
        <v>0</v>
      </c>
      <c r="E66" s="27" t="s">
        <v>357</v>
      </c>
      <c r="F66" s="28">
        <v>2</v>
      </c>
      <c r="G66" s="29" t="str">
        <f>IF(OR(D66="",F66=""),"chưa rõ",IF(F66&gt;D66,"FRACILE",IF(D66&gt;F66,"Vivoire","hoà")))</f>
        <v>FRACILE</v>
      </c>
      <c r="H66" s="25" t="s">
        <v>108</v>
      </c>
      <c r="I66" s="30" t="s">
        <v>358</v>
      </c>
    </row>
    <row r="67" ht="44" customHeight="1" spans="1:9" x14ac:dyDescent="0.25">
      <c r="A67" s="25" t="s">
        <v>12</v>
      </c>
      <c r="B67" s="26" t="s">
        <v>359</v>
      </c>
      <c r="C67" s="27" t="s">
        <v>111</v>
      </c>
      <c r="D67" s="28">
        <v>0</v>
      </c>
      <c r="E67" s="27" t="s">
        <v>360</v>
      </c>
      <c r="F67" s="28">
        <v>2</v>
      </c>
      <c r="G67" s="29" t="str">
        <f>IF(OR(D67="",F67=""),"chưa rõ",IF(F67&gt;D67,"FRACILE",IF(D67&gt;F67,"Vivoire","hoà")))</f>
        <v>FRACILE</v>
      </c>
      <c r="H67" s="25" t="s">
        <v>361</v>
      </c>
      <c r="I67" s="30" t="s">
        <v>362</v>
      </c>
    </row>
    <row r="68" ht="44" customHeight="1" spans="1:9" x14ac:dyDescent="0.25">
      <c r="A68" s="25" t="s">
        <v>12</v>
      </c>
      <c r="B68" s="26" t="s">
        <v>363</v>
      </c>
      <c r="C68" s="27" t="s">
        <v>111</v>
      </c>
      <c r="D68" s="28">
        <v>0</v>
      </c>
      <c r="E68" s="27" t="s">
        <v>364</v>
      </c>
      <c r="F68" s="28">
        <v>2</v>
      </c>
      <c r="G68" s="29" t="str">
        <f>IF(OR(D68="",F68=""),"chưa rõ",IF(F68&gt;D68,"FRACILE",IF(D68&gt;F68,"Vivoire","hoà")))</f>
        <v>FRACILE</v>
      </c>
      <c r="H68" s="25" t="s">
        <v>365</v>
      </c>
      <c r="I68" s="30" t="s">
        <v>366</v>
      </c>
    </row>
    <row r="69" ht="44" customHeight="1" spans="1:9" x14ac:dyDescent="0.25">
      <c r="A69" s="25" t="s">
        <v>12</v>
      </c>
      <c r="B69" s="26" t="s">
        <v>367</v>
      </c>
      <c r="C69" s="27" t="s">
        <v>111</v>
      </c>
      <c r="D69" s="28">
        <v>0</v>
      </c>
      <c r="E69" s="27" t="s">
        <v>368</v>
      </c>
      <c r="F69" s="28">
        <v>2</v>
      </c>
      <c r="G69" s="29" t="str">
        <f>IF(OR(D69="",F69=""),"chưa rõ",IF(F69&gt;D69,"FRACILE",IF(D69&gt;F69,"Vivoire","hoà")))</f>
        <v>FRACILE</v>
      </c>
      <c r="H69" s="25" t="s">
        <v>108</v>
      </c>
      <c r="I69" s="30" t="s">
        <v>369</v>
      </c>
    </row>
    <row r="70" ht="44" customHeight="1" spans="1:9" x14ac:dyDescent="0.25">
      <c r="A70" s="25" t="s">
        <v>14</v>
      </c>
      <c r="B70" s="26" t="s">
        <v>370</v>
      </c>
      <c r="C70" s="27" t="s">
        <v>111</v>
      </c>
      <c r="D70" s="28">
        <v>0</v>
      </c>
      <c r="E70" s="27" t="s">
        <v>371</v>
      </c>
      <c r="F70" s="28">
        <v>2</v>
      </c>
      <c r="G70" s="29" t="str">
        <f>IF(OR(D70="",F70=""),"chưa rõ",IF(F70&gt;D70,"FRACILE",IF(D70&gt;F70,"Vivoire","hoà")))</f>
        <v>FRACILE</v>
      </c>
      <c r="H70" s="25" t="s">
        <v>108</v>
      </c>
      <c r="I70" s="30" t="s">
        <v>372</v>
      </c>
    </row>
    <row r="71" ht="44" customHeight="1" spans="1:9" x14ac:dyDescent="0.25">
      <c r="A71" s="25" t="s">
        <v>15</v>
      </c>
      <c r="B71" s="26" t="s">
        <v>373</v>
      </c>
      <c r="C71" s="27" t="s">
        <v>111</v>
      </c>
      <c r="D71" s="28">
        <v>0</v>
      </c>
      <c r="E71" s="27" t="s">
        <v>374</v>
      </c>
      <c r="F71" s="28">
        <v>2</v>
      </c>
      <c r="G71" s="29" t="str">
        <f>IF(OR(D71="",F71=""),"chưa rõ",IF(F71&gt;D71,"FRACILE",IF(D71&gt;F71,"Vivoire","hoà")))</f>
        <v>FRACILE</v>
      </c>
      <c r="H71" s="25" t="s">
        <v>375</v>
      </c>
      <c r="I71" s="30" t="s">
        <v>376</v>
      </c>
    </row>
    <row r="72" ht="44" customHeight="1" spans="1:9" x14ac:dyDescent="0.25">
      <c r="A72" s="25" t="s">
        <v>15</v>
      </c>
      <c r="B72" s="26" t="s">
        <v>377</v>
      </c>
      <c r="C72" s="27" t="s">
        <v>111</v>
      </c>
      <c r="D72" s="28">
        <v>0</v>
      </c>
      <c r="E72" s="27" t="s">
        <v>378</v>
      </c>
      <c r="F72" s="28">
        <v>2</v>
      </c>
      <c r="G72" s="29" t="str">
        <f>IF(OR(D72="",F72=""),"chưa rõ",IF(F72&gt;D72,"FRACILE",IF(D72&gt;F72,"Vivoire","hoà")))</f>
        <v>FRACILE</v>
      </c>
      <c r="H72" s="25" t="s">
        <v>108</v>
      </c>
      <c r="I72" s="30" t="s">
        <v>379</v>
      </c>
    </row>
    <row r="73" ht="44" customHeight="1" spans="1:9" x14ac:dyDescent="0.25">
      <c r="A73" s="25" t="s">
        <v>17</v>
      </c>
      <c r="B73" s="26" t="s">
        <v>380</v>
      </c>
      <c r="C73" s="27" t="s">
        <v>111</v>
      </c>
      <c r="D73" s="28">
        <v>0</v>
      </c>
      <c r="E73" s="27" t="s">
        <v>381</v>
      </c>
      <c r="F73" s="28">
        <v>2</v>
      </c>
      <c r="G73" s="29" t="str">
        <f>IF(OR(D73="",F73=""),"chưa rõ",IF(F73&gt;D73,"FRACILE",IF(D73&gt;F73,"Vivoire","hoà")))</f>
        <v>FRACILE</v>
      </c>
      <c r="H73" s="25" t="s">
        <v>382</v>
      </c>
      <c r="I73" s="30" t="s">
        <v>383</v>
      </c>
    </row>
    <row r="74" ht="44" customHeight="1" spans="1:9" x14ac:dyDescent="0.25">
      <c r="A74" s="25" t="s">
        <v>12</v>
      </c>
      <c r="B74" s="26" t="s">
        <v>384</v>
      </c>
      <c r="C74" s="27" t="s">
        <v>111</v>
      </c>
      <c r="D74" s="28">
        <v>0</v>
      </c>
      <c r="E74" s="27" t="s">
        <v>385</v>
      </c>
      <c r="F74" s="28">
        <v>2</v>
      </c>
      <c r="G74" s="29" t="str">
        <f>IF(OR(D74="",F74=""),"chưa rõ",IF(F74&gt;D74,"FRACILE",IF(D74&gt;F74,"Vivoire","hoà")))</f>
        <v>FRACILE</v>
      </c>
      <c r="H74" s="25" t="s">
        <v>108</v>
      </c>
      <c r="I74" s="30" t="s">
        <v>386</v>
      </c>
    </row>
    <row r="75" ht="44" customHeight="1" spans="1:9" x14ac:dyDescent="0.25">
      <c r="A75" s="25" t="s">
        <v>11</v>
      </c>
      <c r="B75" s="26" t="s">
        <v>387</v>
      </c>
      <c r="C75" s="27" t="s">
        <v>111</v>
      </c>
      <c r="D75" s="28">
        <v>0</v>
      </c>
      <c r="E75" s="27" t="s">
        <v>388</v>
      </c>
      <c r="F75" s="28">
        <v>2</v>
      </c>
      <c r="G75" s="29" t="str">
        <f>IF(OR(D75="",F75=""),"chưa rõ",IF(F75&gt;D75,"FRACILE",IF(D75&gt;F75,"Vivoire","hoà")))</f>
        <v>FRACILE</v>
      </c>
      <c r="H75" s="25" t="s">
        <v>389</v>
      </c>
      <c r="I75" s="30" t="s">
        <v>390</v>
      </c>
    </row>
    <row r="76" ht="44" customHeight="1" spans="1:9" x14ac:dyDescent="0.25">
      <c r="A76" s="25" t="s">
        <v>14</v>
      </c>
      <c r="B76" s="26" t="s">
        <v>391</v>
      </c>
      <c r="C76" s="27" t="s">
        <v>111</v>
      </c>
      <c r="D76" s="28">
        <v>0</v>
      </c>
      <c r="E76" s="27" t="s">
        <v>392</v>
      </c>
      <c r="F76" s="28">
        <v>2</v>
      </c>
      <c r="G76" s="29" t="str">
        <f>IF(OR(D76="",F76=""),"chưa rõ",IF(F76&gt;D76,"FRACILE",IF(D76&gt;F76,"Vivoire","hoà")))</f>
        <v>FRACILE</v>
      </c>
      <c r="H76" s="25" t="s">
        <v>108</v>
      </c>
      <c r="I76" s="30" t="s">
        <v>393</v>
      </c>
    </row>
    <row r="77" ht="44" customHeight="1" spans="1:9" x14ac:dyDescent="0.25">
      <c r="A77" s="19" t="s">
        <v>14</v>
      </c>
      <c r="B77" s="20" t="s">
        <v>394</v>
      </c>
      <c r="C77" s="21" t="s">
        <v>111</v>
      </c>
      <c r="D77" s="22">
        <v>0</v>
      </c>
      <c r="E77" s="21" t="s">
        <v>395</v>
      </c>
      <c r="F77" s="22">
        <v>1</v>
      </c>
      <c r="G77" s="23" t="str">
        <f>IF(OR(D77="",F77=""),"chưa rõ",IF(F77&gt;D77,"FRACILE",IF(D77&gt;F77,"Vivoire","hoà")))</f>
        <v>FRACILE</v>
      </c>
      <c r="H77" s="19" t="s">
        <v>396</v>
      </c>
      <c r="I77" s="24" t="s">
        <v>397</v>
      </c>
    </row>
    <row r="78" ht="44" customHeight="1" spans="1:9" x14ac:dyDescent="0.25">
      <c r="A78" s="25" t="s">
        <v>14</v>
      </c>
      <c r="B78" s="26" t="s">
        <v>398</v>
      </c>
      <c r="C78" s="27" t="s">
        <v>111</v>
      </c>
      <c r="D78" s="28">
        <v>0</v>
      </c>
      <c r="E78" s="27" t="s">
        <v>399</v>
      </c>
      <c r="F78" s="28">
        <v>2</v>
      </c>
      <c r="G78" s="29" t="str">
        <f>IF(OR(D78="",F78=""),"chưa rõ",IF(F78&gt;D78,"FRACILE",IF(D78&gt;F78,"Vivoire","hoà")))</f>
        <v>FRACILE</v>
      </c>
      <c r="H78" s="25" t="s">
        <v>108</v>
      </c>
      <c r="I78" s="30" t="s">
        <v>400</v>
      </c>
    </row>
    <row r="79" ht="44" customHeight="1" spans="1:9" x14ac:dyDescent="0.25">
      <c r="A79" s="25" t="s">
        <v>14</v>
      </c>
      <c r="B79" s="26" t="s">
        <v>401</v>
      </c>
      <c r="C79" s="27" t="s">
        <v>111</v>
      </c>
      <c r="D79" s="28">
        <v>0</v>
      </c>
      <c r="E79" s="27" t="s">
        <v>402</v>
      </c>
      <c r="F79" s="28">
        <v>2</v>
      </c>
      <c r="G79" s="29" t="str">
        <f>IF(OR(D79="",F79=""),"chưa rõ",IF(F79&gt;D79,"FRACILE",IF(D79&gt;F79,"Vivoire","hoà")))</f>
        <v>FRACILE</v>
      </c>
      <c r="H79" s="25" t="s">
        <v>403</v>
      </c>
      <c r="I79" s="30" t="s">
        <v>404</v>
      </c>
    </row>
    <row r="80" ht="44" customHeight="1" spans="1:9" x14ac:dyDescent="0.25">
      <c r="A80" s="25" t="s">
        <v>14</v>
      </c>
      <c r="B80" s="26" t="s">
        <v>405</v>
      </c>
      <c r="C80" s="27" t="s">
        <v>111</v>
      </c>
      <c r="D80" s="28">
        <v>0</v>
      </c>
      <c r="E80" s="27" t="s">
        <v>406</v>
      </c>
      <c r="F80" s="28">
        <v>2</v>
      </c>
      <c r="G80" s="29" t="str">
        <f>IF(OR(D80="",F80=""),"chưa rõ",IF(F80&gt;D80,"FRACILE",IF(D80&gt;F80,"Vivoire","hoà")))</f>
        <v>FRACILE</v>
      </c>
      <c r="H80" s="25" t="s">
        <v>108</v>
      </c>
      <c r="I80" s="30" t="s">
        <v>407</v>
      </c>
    </row>
    <row r="81" ht="44" customHeight="1" spans="1:9" x14ac:dyDescent="0.25">
      <c r="A81" s="25" t="s">
        <v>14</v>
      </c>
      <c r="B81" s="26" t="s">
        <v>408</v>
      </c>
      <c r="C81" s="27" t="s">
        <v>409</v>
      </c>
      <c r="D81" s="28"/>
      <c r="E81" s="27" t="s">
        <v>410</v>
      </c>
      <c r="F81" s="28">
        <v>2</v>
      </c>
      <c r="G81" s="29" t="str">
        <f>IF(OR(D81="",F81=""),"chưa rõ",IF(F81&gt;D81,"FRACILE",IF(D81&gt;F81,"Vivoire","hoà")))</f>
        <v>chưa rõ</v>
      </c>
      <c r="H81" s="25" t="s">
        <v>108</v>
      </c>
      <c r="I81" s="30" t="s">
        <v>411</v>
      </c>
    </row>
    <row r="82" ht="44" customHeight="1" spans="1:9" x14ac:dyDescent="0.25">
      <c r="A82" s="25" t="s">
        <v>17</v>
      </c>
      <c r="B82" s="26" t="s">
        <v>412</v>
      </c>
      <c r="C82" s="27" t="s">
        <v>409</v>
      </c>
      <c r="D82" s="28"/>
      <c r="E82" s="27" t="s">
        <v>413</v>
      </c>
      <c r="F82" s="28">
        <v>2</v>
      </c>
      <c r="G82" s="29" t="str">
        <f>IF(OR(D82="",F82=""),"chưa rõ",IF(F82&gt;D82,"FRACILE",IF(D82&gt;F82,"Vivoire","hoà")))</f>
        <v>chưa rõ</v>
      </c>
      <c r="H82" s="25" t="s">
        <v>108</v>
      </c>
      <c r="I82" s="30" t="s">
        <v>414</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415</v>
      </c>
    </row>
    <row r="2" spans="1:5" x14ac:dyDescent="0.25">
      <c r="A2" s="12" t="s">
        <v>416</v>
      </c>
      <c r="B2" s="12"/>
      <c r="C2" s="12"/>
      <c r="D2" s="12"/>
      <c r="E2" s="12"/>
    </row>
    <row r="3" spans="1:5" x14ac:dyDescent="0.25">
      <c r="A3" s="12"/>
      <c r="B3" s="12"/>
      <c r="C3" s="12"/>
      <c r="D3" s="12"/>
      <c r="E3" s="12"/>
    </row>
    <row r="5" ht="34" customHeight="1" spans="1:5" x14ac:dyDescent="0.25">
      <c r="A5" s="3" t="s">
        <v>417</v>
      </c>
      <c r="B5" s="3" t="s">
        <v>418</v>
      </c>
      <c r="C5" s="3" t="s">
        <v>419</v>
      </c>
      <c r="D5" s="3" t="s">
        <v>420</v>
      </c>
      <c r="E5" s="3" t="s">
        <v>421</v>
      </c>
    </row>
    <row r="6" ht="42" customHeight="1" spans="1:5" x14ac:dyDescent="0.25">
      <c r="A6" s="27" t="s">
        <v>422</v>
      </c>
      <c r="B6" s="27" t="s">
        <v>423</v>
      </c>
      <c r="C6" s="25" t="s">
        <v>424</v>
      </c>
      <c r="D6" s="27" t="s">
        <v>425</v>
      </c>
      <c r="E6" s="27" t="s">
        <v>426</v>
      </c>
    </row>
    <row r="7" ht="42" customHeight="1" spans="1:5" x14ac:dyDescent="0.25">
      <c r="A7" s="21" t="s">
        <v>427</v>
      </c>
      <c r="B7" s="21" t="s">
        <v>428</v>
      </c>
      <c r="C7" s="19" t="s">
        <v>429</v>
      </c>
      <c r="D7" s="21" t="s">
        <v>108</v>
      </c>
      <c r="E7" s="21" t="s">
        <v>430</v>
      </c>
    </row>
    <row r="8" ht="42" customHeight="1" spans="1:5" x14ac:dyDescent="0.25">
      <c r="A8" s="21" t="s">
        <v>431</v>
      </c>
      <c r="B8" s="21" t="s">
        <v>432</v>
      </c>
      <c r="C8" s="19" t="s">
        <v>429</v>
      </c>
      <c r="D8" s="21" t="s">
        <v>433</v>
      </c>
      <c r="E8" s="21" t="s">
        <v>434</v>
      </c>
    </row>
    <row r="9" ht="42" customHeight="1" spans="1:5" x14ac:dyDescent="0.25">
      <c r="A9" s="21" t="s">
        <v>232</v>
      </c>
      <c r="B9" s="21" t="s">
        <v>435</v>
      </c>
      <c r="C9" s="19" t="s">
        <v>429</v>
      </c>
      <c r="D9" s="21" t="s">
        <v>108</v>
      </c>
      <c r="E9" s="21" t="s">
        <v>436</v>
      </c>
    </row>
    <row r="10" ht="42" customHeight="1" spans="1:5" x14ac:dyDescent="0.25">
      <c r="A10" s="21" t="s">
        <v>437</v>
      </c>
      <c r="B10" s="21" t="s">
        <v>438</v>
      </c>
      <c r="C10" s="19" t="s">
        <v>429</v>
      </c>
      <c r="D10" s="21" t="s">
        <v>108</v>
      </c>
      <c r="E10" s="21" t="s">
        <v>439</v>
      </c>
    </row>
    <row r="11" ht="42" customHeight="1" spans="1:5" x14ac:dyDescent="0.25">
      <c r="A11" s="27" t="s">
        <v>440</v>
      </c>
      <c r="B11" s="27" t="s">
        <v>441</v>
      </c>
      <c r="C11" s="25" t="s">
        <v>442</v>
      </c>
      <c r="D11" s="27" t="s">
        <v>443</v>
      </c>
      <c r="E11" s="27" t="s">
        <v>444</v>
      </c>
    </row>
    <row r="12" ht="42" customHeight="1" spans="1:5" x14ac:dyDescent="0.25">
      <c r="A12" s="27" t="s">
        <v>445</v>
      </c>
      <c r="B12" s="27" t="s">
        <v>446</v>
      </c>
      <c r="C12" s="25" t="s">
        <v>424</v>
      </c>
      <c r="D12" s="27" t="s">
        <v>447</v>
      </c>
      <c r="E12" s="27" t="s">
        <v>448</v>
      </c>
    </row>
    <row r="13" ht="42" customHeight="1" spans="1:5" x14ac:dyDescent="0.25">
      <c r="A13" s="27" t="s">
        <v>449</v>
      </c>
      <c r="B13" s="27" t="s">
        <v>450</v>
      </c>
      <c r="C13" s="25" t="s">
        <v>442</v>
      </c>
      <c r="D13" s="27" t="s">
        <v>443</v>
      </c>
      <c r="E13" s="27" t="s">
        <v>451</v>
      </c>
    </row>
    <row r="14" ht="42" customHeight="1" spans="1:5" x14ac:dyDescent="0.25">
      <c r="A14" s="27" t="s">
        <v>238</v>
      </c>
      <c r="B14" s="27" t="s">
        <v>452</v>
      </c>
      <c r="C14" s="25" t="s">
        <v>424</v>
      </c>
      <c r="D14" s="27" t="s">
        <v>447</v>
      </c>
      <c r="E14" s="27" t="s">
        <v>453</v>
      </c>
    </row>
    <row r="15" ht="42" customHeight="1" spans="1:5" x14ac:dyDescent="0.25">
      <c r="A15" s="27" t="s">
        <v>454</v>
      </c>
      <c r="B15" s="27" t="s">
        <v>455</v>
      </c>
      <c r="C15" s="25" t="s">
        <v>442</v>
      </c>
      <c r="D15" s="27" t="s">
        <v>443</v>
      </c>
      <c r="E15" s="27" t="s">
        <v>456</v>
      </c>
    </row>
    <row r="16" ht="42" customHeight="1" spans="1:5" x14ac:dyDescent="0.25">
      <c r="A16" s="27" t="s">
        <v>457</v>
      </c>
      <c r="B16" s="27" t="s">
        <v>458</v>
      </c>
      <c r="C16" s="25" t="s">
        <v>442</v>
      </c>
      <c r="D16" s="27" t="s">
        <v>459</v>
      </c>
      <c r="E16" s="27" t="s">
        <v>460</v>
      </c>
    </row>
    <row r="17" ht="42" customHeight="1" spans="1:5" x14ac:dyDescent="0.25">
      <c r="A17" s="27" t="s">
        <v>461</v>
      </c>
      <c r="B17" s="27" t="s">
        <v>462</v>
      </c>
      <c r="C17" s="25" t="s">
        <v>442</v>
      </c>
      <c r="D17" s="27" t="s">
        <v>463</v>
      </c>
      <c r="E17" s="27" t="s">
        <v>464</v>
      </c>
    </row>
    <row r="18" ht="42" customHeight="1" spans="1:5" x14ac:dyDescent="0.25">
      <c r="A18" s="27" t="s">
        <v>465</v>
      </c>
      <c r="B18" s="27" t="s">
        <v>466</v>
      </c>
      <c r="C18" s="25" t="s">
        <v>424</v>
      </c>
      <c r="D18" s="27" t="s">
        <v>108</v>
      </c>
      <c r="E18" s="27" t="s">
        <v>467</v>
      </c>
    </row>
    <row r="19" ht="42" customHeight="1" spans="1:5" x14ac:dyDescent="0.25">
      <c r="A19" s="27" t="s">
        <v>468</v>
      </c>
      <c r="B19" s="27" t="s">
        <v>469</v>
      </c>
      <c r="C19" s="25" t="s">
        <v>442</v>
      </c>
      <c r="D19" s="27" t="s">
        <v>459</v>
      </c>
      <c r="E19" s="27" t="s">
        <v>470</v>
      </c>
    </row>
    <row r="20" ht="42" customHeight="1" spans="1:5" x14ac:dyDescent="0.25">
      <c r="A20" s="27" t="s">
        <v>471</v>
      </c>
      <c r="B20" s="27" t="s">
        <v>472</v>
      </c>
      <c r="C20" s="25" t="s">
        <v>442</v>
      </c>
      <c r="D20" s="27" t="s">
        <v>459</v>
      </c>
      <c r="E20" s="27" t="s">
        <v>473</v>
      </c>
    </row>
    <row r="21" ht="42" customHeight="1" spans="1:5" x14ac:dyDescent="0.25">
      <c r="A21" s="27" t="s">
        <v>474</v>
      </c>
      <c r="B21" s="27" t="s">
        <v>472</v>
      </c>
      <c r="C21" s="25" t="s">
        <v>475</v>
      </c>
      <c r="D21" s="27" t="s">
        <v>108</v>
      </c>
      <c r="E21" s="27" t="s">
        <v>476</v>
      </c>
    </row>
    <row r="22" ht="42" customHeight="1" spans="1:5" x14ac:dyDescent="0.25">
      <c r="A22" s="27" t="s">
        <v>477</v>
      </c>
      <c r="B22" s="27" t="s">
        <v>478</v>
      </c>
      <c r="C22" s="25" t="s">
        <v>424</v>
      </c>
      <c r="D22" s="27" t="s">
        <v>479</v>
      </c>
      <c r="E22" s="27" t="s">
        <v>480</v>
      </c>
    </row>
    <row r="23" ht="42" customHeight="1" spans="1:5" x14ac:dyDescent="0.25">
      <c r="A23" s="27" t="s">
        <v>481</v>
      </c>
      <c r="B23" s="27" t="s">
        <v>482</v>
      </c>
      <c r="C23" s="25" t="s">
        <v>424</v>
      </c>
      <c r="D23" s="27" t="s">
        <v>483</v>
      </c>
      <c r="E23" s="27" t="s">
        <v>484</v>
      </c>
    </row>
    <row r="24" ht="42" customHeight="1" spans="1:5" x14ac:dyDescent="0.25">
      <c r="A24" s="27" t="s">
        <v>485</v>
      </c>
      <c r="B24" s="27" t="s">
        <v>478</v>
      </c>
      <c r="C24" s="25" t="s">
        <v>442</v>
      </c>
      <c r="D24" s="27" t="s">
        <v>463</v>
      </c>
      <c r="E24" s="27" t="s">
        <v>486</v>
      </c>
    </row>
    <row r="25" ht="42" customHeight="1" spans="1:5" x14ac:dyDescent="0.25">
      <c r="A25" s="27" t="s">
        <v>487</v>
      </c>
      <c r="B25" s="27" t="s">
        <v>488</v>
      </c>
      <c r="C25" s="25" t="s">
        <v>475</v>
      </c>
      <c r="D25" s="27" t="s">
        <v>108</v>
      </c>
      <c r="E25" s="27" t="s">
        <v>489</v>
      </c>
    </row>
    <row r="28" spans="1:1" x14ac:dyDescent="0.25">
      <c r="A28" s="38" t="s">
        <v>490</v>
      </c>
    </row>
    <row r="29" ht="30" customHeight="1" spans="1:5" x14ac:dyDescent="0.25">
      <c r="A29" s="18" t="s">
        <v>491</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492</v>
      </c>
    </row>
    <row r="3" ht="34" customHeight="1" spans="1:4" x14ac:dyDescent="0.25">
      <c r="A3" s="3" t="s">
        <v>493</v>
      </c>
      <c r="B3" s="3" t="s">
        <v>494</v>
      </c>
      <c r="C3" s="3" t="s">
        <v>495</v>
      </c>
      <c r="D3" s="3" t="s">
        <v>496</v>
      </c>
    </row>
    <row r="4" spans="1:4" x14ac:dyDescent="0.25">
      <c r="A4" s="39" t="s">
        <v>497</v>
      </c>
      <c r="B4" s="40">
        <v>161</v>
      </c>
      <c r="C4" s="41" t="s">
        <v>498</v>
      </c>
      <c r="D4" s="42" t="s">
        <v>499</v>
      </c>
    </row>
    <row r="5" spans="1:4" x14ac:dyDescent="0.25">
      <c r="A5" s="39" t="s">
        <v>500</v>
      </c>
      <c r="B5" s="40">
        <v>943</v>
      </c>
      <c r="C5" s="41" t="s">
        <v>501</v>
      </c>
      <c r="D5" s="42" t="s">
        <v>499</v>
      </c>
    </row>
    <row r="6" spans="1:4" x14ac:dyDescent="0.25">
      <c r="A6" s="39" t="s">
        <v>502</v>
      </c>
      <c r="B6" s="40">
        <v>704</v>
      </c>
      <c r="C6" s="41" t="s">
        <v>503</v>
      </c>
      <c r="D6" s="42" t="s">
        <v>504</v>
      </c>
    </row>
    <row r="7" spans="1:4" x14ac:dyDescent="0.25">
      <c r="A7" s="39" t="s">
        <v>505</v>
      </c>
      <c r="B7" s="40">
        <v>22</v>
      </c>
      <c r="C7" s="41" t="s">
        <v>506</v>
      </c>
      <c r="D7" s="42" t="s">
        <v>504</v>
      </c>
    </row>
    <row r="8" spans="1:4" x14ac:dyDescent="0.25">
      <c r="A8" s="39" t="s">
        <v>507</v>
      </c>
      <c r="B8" s="40">
        <v>13</v>
      </c>
      <c r="C8" s="41" t="s">
        <v>508</v>
      </c>
      <c r="D8" s="42" t="s">
        <v>499</v>
      </c>
    </row>
    <row r="9" spans="1:4" x14ac:dyDescent="0.25">
      <c r="A9" s="39" t="s">
        <v>509</v>
      </c>
      <c r="B9" s="40">
        <v>109</v>
      </c>
      <c r="C9" s="41" t="s">
        <v>510</v>
      </c>
      <c r="D9" s="42" t="s">
        <v>499</v>
      </c>
    </row>
    <row r="10" spans="1:4" x14ac:dyDescent="0.25">
      <c r="A10" s="39" t="s">
        <v>511</v>
      </c>
      <c r="B10" s="40">
        <v>12</v>
      </c>
      <c r="C10" s="41" t="s">
        <v>512</v>
      </c>
      <c r="D10" s="42" t="s">
        <v>513</v>
      </c>
    </row>
    <row r="11" spans="1:4" x14ac:dyDescent="0.25">
      <c r="A11" s="39" t="s">
        <v>514</v>
      </c>
      <c r="B11" s="40">
        <v>131</v>
      </c>
      <c r="C11" s="41" t="s">
        <v>515</v>
      </c>
      <c r="D11" s="42" t="s">
        <v>513</v>
      </c>
    </row>
    <row r="12" spans="1:4" x14ac:dyDescent="0.25">
      <c r="A12" s="39" t="s">
        <v>516</v>
      </c>
      <c r="B12" s="40">
        <v>18</v>
      </c>
      <c r="C12" s="41" t="s">
        <v>517</v>
      </c>
      <c r="D12" s="42" t="s">
        <v>518</v>
      </c>
    </row>
    <row r="13" spans="1:4" x14ac:dyDescent="0.25">
      <c r="A13" s="39" t="s">
        <v>519</v>
      </c>
      <c r="B13" s="40">
        <v>57</v>
      </c>
      <c r="C13" s="41" t="s">
        <v>520</v>
      </c>
      <c r="D13" s="42" t="s">
        <v>518</v>
      </c>
    </row>
    <row r="14" spans="1:4" x14ac:dyDescent="0.25">
      <c r="A14" s="39" t="s">
        <v>521</v>
      </c>
      <c r="B14" s="40">
        <v>21</v>
      </c>
      <c r="C14" s="41" t="s">
        <v>522</v>
      </c>
      <c r="D14" s="42" t="s">
        <v>499</v>
      </c>
    </row>
    <row r="15" spans="1:4" x14ac:dyDescent="0.25">
      <c r="A15" s="39" t="s">
        <v>523</v>
      </c>
      <c r="B15" s="40">
        <v>1</v>
      </c>
      <c r="C15" s="41" t="s">
        <v>524</v>
      </c>
      <c r="D15" s="42" t="s">
        <v>504</v>
      </c>
    </row>
    <row r="16" spans="1:4" x14ac:dyDescent="0.25">
      <c r="A16" s="39" t="s">
        <v>525</v>
      </c>
      <c r="B16" s="40">
        <v>4</v>
      </c>
      <c r="C16" s="41" t="s">
        <v>526</v>
      </c>
      <c r="D16" s="42" t="s">
        <v>504</v>
      </c>
    </row>
    <row r="17" spans="1:4" x14ac:dyDescent="0.25">
      <c r="A17" s="39" t="s">
        <v>527</v>
      </c>
      <c r="B17" s="40">
        <v>8</v>
      </c>
      <c r="C17" s="41" t="s">
        <v>528</v>
      </c>
      <c r="D17" s="42" t="s">
        <v>529</v>
      </c>
    </row>
    <row r="18" spans="1:4" x14ac:dyDescent="0.25">
      <c r="A18" s="39" t="s">
        <v>530</v>
      </c>
      <c r="B18" s="40">
        <v>0</v>
      </c>
      <c r="C18" s="41" t="s">
        <v>531</v>
      </c>
      <c r="D18" s="42" t="s">
        <v>518</v>
      </c>
    </row>
    <row r="19" spans="1:4" x14ac:dyDescent="0.25">
      <c r="A19" s="39" t="s">
        <v>532</v>
      </c>
      <c r="B19" s="40">
        <v>1</v>
      </c>
      <c r="C19" s="41" t="s">
        <v>533</v>
      </c>
      <c r="D19" s="42" t="s">
        <v>534</v>
      </c>
    </row>
    <row r="20" spans="1:4" x14ac:dyDescent="0.25">
      <c r="A20" s="39" t="s">
        <v>535</v>
      </c>
      <c r="B20" s="40">
        <v>2</v>
      </c>
      <c r="C20" s="41" t="s">
        <v>536</v>
      </c>
      <c r="D20" s="42" t="s">
        <v>504</v>
      </c>
    </row>
    <row r="21" spans="1:4" x14ac:dyDescent="0.25">
      <c r="A21" s="39" t="s">
        <v>537</v>
      </c>
      <c r="B21" s="40">
        <v>2</v>
      </c>
      <c r="C21" s="41" t="s">
        <v>538</v>
      </c>
      <c r="D21" s="42" t="s">
        <v>504</v>
      </c>
    </row>
    <row r="22" spans="1:4" x14ac:dyDescent="0.25">
      <c r="A22" s="39" t="s">
        <v>539</v>
      </c>
      <c r="B22" s="40">
        <v>7</v>
      </c>
      <c r="C22" s="41" t="s">
        <v>540</v>
      </c>
      <c r="D22" s="42" t="s">
        <v>504</v>
      </c>
    </row>
    <row r="23" spans="1:4" x14ac:dyDescent="0.25">
      <c r="A23" s="39" t="s">
        <v>541</v>
      </c>
      <c r="B23" s="40">
        <v>600</v>
      </c>
      <c r="C23" s="41" t="s">
        <v>542</v>
      </c>
      <c r="D23" s="42" t="s">
        <v>499</v>
      </c>
    </row>
    <row r="25" spans="1:3" x14ac:dyDescent="0.25">
      <c r="A25" s="13" t="s">
        <v>543</v>
      </c>
      <c r="B25" s="43">
        <f>B6/B5</f>
        <v>0.7990919409761634</v>
      </c>
      <c r="C25" s="44" t="s">
        <v>544</v>
      </c>
    </row>
    <row r="26" spans="1:3" x14ac:dyDescent="0.25">
      <c r="A26" s="13" t="s">
        <v>545</v>
      </c>
      <c r="B26" s="45">
        <f>B5-B6</f>
        <v>177</v>
      </c>
      <c r="C26" s="44" t="s">
        <v>546</v>
      </c>
    </row>
    <row r="29" spans="1:1" x14ac:dyDescent="0.25">
      <c r="A29" s="38" t="s">
        <v>547</v>
      </c>
    </row>
    <row r="30" ht="34" customHeight="1" spans="1:4" x14ac:dyDescent="0.25">
      <c r="A30" s="3" t="s">
        <v>493</v>
      </c>
      <c r="B30" s="3" t="s">
        <v>494</v>
      </c>
      <c r="C30" s="3" t="s">
        <v>548</v>
      </c>
      <c r="D30" s="3" t="s">
        <v>549</v>
      </c>
    </row>
    <row r="31" spans="1:4" x14ac:dyDescent="0.25">
      <c r="A31" s="19" t="s">
        <v>550</v>
      </c>
      <c r="B31" s="21" t="s">
        <v>551</v>
      </c>
      <c r="C31" s="21" t="s">
        <v>552</v>
      </c>
      <c r="D31" s="21" t="s">
        <v>553</v>
      </c>
    </row>
    <row r="32" spans="1:4" x14ac:dyDescent="0.25">
      <c r="A32" s="19" t="s">
        <v>554</v>
      </c>
      <c r="B32" s="21" t="s">
        <v>551</v>
      </c>
      <c r="C32" s="21" t="s">
        <v>552</v>
      </c>
      <c r="D32" s="21" t="s">
        <v>553</v>
      </c>
    </row>
    <row r="33" spans="1:4" x14ac:dyDescent="0.25">
      <c r="A33" s="19" t="s">
        <v>555</v>
      </c>
      <c r="B33" s="21" t="s">
        <v>556</v>
      </c>
      <c r="C33" s="21" t="s">
        <v>552</v>
      </c>
      <c r="D33" s="21" t="s">
        <v>553</v>
      </c>
    </row>
    <row r="34" spans="1:4" x14ac:dyDescent="0.25">
      <c r="A34" s="46" t="s">
        <v>557</v>
      </c>
      <c r="B34" s="47" t="s">
        <v>558</v>
      </c>
      <c r="C34" s="47" t="s">
        <v>559</v>
      </c>
      <c r="D34" s="47" t="s">
        <v>560</v>
      </c>
    </row>
    <row r="35" spans="1:4" x14ac:dyDescent="0.25">
      <c r="A35" s="46" t="s">
        <v>561</v>
      </c>
      <c r="B35" s="47" t="s">
        <v>562</v>
      </c>
      <c r="C35" s="47" t="s">
        <v>563</v>
      </c>
      <c r="D35" s="47" t="s">
        <v>560</v>
      </c>
    </row>
    <row r="36" spans="1:4" x14ac:dyDescent="0.25">
      <c r="A36" s="19" t="s">
        <v>564</v>
      </c>
      <c r="B36" s="21" t="s">
        <v>565</v>
      </c>
      <c r="C36" s="21" t="s">
        <v>566</v>
      </c>
      <c r="D36" s="21" t="s">
        <v>567</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568</v>
      </c>
    </row>
    <row r="3" ht="34" customHeight="1" spans="1:5" x14ac:dyDescent="0.25">
      <c r="A3" s="3" t="s">
        <v>569</v>
      </c>
      <c r="B3" s="3" t="s">
        <v>570</v>
      </c>
      <c r="C3" s="3" t="s">
        <v>571</v>
      </c>
      <c r="D3" s="3" t="s">
        <v>572</v>
      </c>
      <c r="E3" s="3" t="s">
        <v>573</v>
      </c>
    </row>
    <row r="4" ht="62" customHeight="1" spans="1:5" x14ac:dyDescent="0.25">
      <c r="A4" s="22">
        <v>1</v>
      </c>
      <c r="B4" s="19" t="s">
        <v>574</v>
      </c>
      <c r="C4" s="21" t="s">
        <v>575</v>
      </c>
      <c r="D4" s="21" t="s">
        <v>576</v>
      </c>
      <c r="E4" s="21" t="s">
        <v>577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2026-10-16T10:39:13Z</dcterms:modified>
</cp:coreProperties>
</file>