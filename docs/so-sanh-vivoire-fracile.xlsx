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<sst xmlns="http://schemas.openxmlformats.org/spreadsheetml/2006/main" count="552" uniqueCount="381">
  <si>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</si>
  <si>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</si>
  <si>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</si>
  <si>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</si>
  <si>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</si>
  <si>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</si>
  <si>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</si>
  <si>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</si>
  <si>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</si>
  <si>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</si>
  <si>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</si>
  <si>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</si>
  <si>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</si>
  <si>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</si>
  <si>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</si>
  <si>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</si>
  <si>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</si>
  <si>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</si>
  <si>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</si>
  <si>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</si>
  <si>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</si>
  <si>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</si>
  <si>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</si>
  <si>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</si>
  <si>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</si>
  <si>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</si>
  <si>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</si>
  <si>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</si>
  <si>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</si>
  <si>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</si>
  <si>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21/09/2026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</si>
  <si>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</si>
  <si>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</si>
  <si>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</si>
  <si>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</si>
  <si>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</si>
  <si>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</si>
  <si>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</si>
  <si>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</si>
  <si>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</si>
  <si>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</si>
  <si>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</si>
  <si>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</si>
  <si>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</si>
  <si>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</si>
  <si>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</si>
  <si>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</si>
  <si>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</si>
  <si>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</si>
  <si>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</si>
  <si>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</si>
  <si>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</si>
  <si>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</si>
  <si>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</si>
  <si>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</si>
  <si>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</si>
  <si>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</si>
  <si>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</si>
  <si>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</si>
  <si>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</si>
  <si>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</si>
  <si>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</si>
  <si>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</si>
  <si>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</si>
  <si>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</si>
  <si>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</si>
  <si>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</si>
  <si>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</si>
  <si>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</si>
  <si>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</si>
  <si>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</si>
  <si>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</si>
  <si>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</si>
  <si>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</si>
  <si>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</si>
  <si>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</si>
  <si>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</si>
  <si>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</si>
  <si>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</si>
  <si>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</si>
  <si>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</si>
  <si>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</si>
  <si>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</si>
  <si>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207/372 câu có lời giải; có màn xếp ưu tiên theo SỐ HỌC SINH từng sai</t>
  </si>
  <si>
    <t>migration 069/070; /professeur/loi-giai</t>
  </si>
  <si>
    <t>Neo đáp án vào ngữ liệu (chỉ ra CHỖ chứa câu trả lời)</t>
  </si>
  <si>
    <t>Có dữ liệu thật từ 21/09: 7 câu của bài « L'impact des locations saisonnières » có neo, kèm 4 bẫy giải thích vì sao đáp án sai dụ người ta</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</si>
  <si>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</si>
  <si>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</si>
  <si>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</si>
  <si>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</si>
  <si>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</si>
  <si>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</si>
  <si>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</si>
  <si>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</si>
  <si>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</si>
  <si>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</si>
  <si>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</si>
  <si>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</si>
  <si>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</si>
  <si>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</si>
  <si>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</si>
  <si>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</si>
  <si>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</si>
  <si>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</si>
  <si>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</si>
  <si>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</si>
  <si>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</si>
  <si>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</si>
  <si>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</si>
  <si>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</si>
  <si>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B1 – B2 (2 cấp)</t>
  </si>
  <si>
    <t>Có chủ đích — nhắm hẹp</t>
  </si>
  <si>
    <t>docs/roadmap-delf.md</t>
  </si>
  <si>
    <t>Số bài luyện</t>
  </si>
  <si>
    <t>200 chép chính tả + 200 nghe điền từ (họ công bố)</t>
  </si>
  <si>
    <t>33 bài (ĐẾM THẬT trên production)</t>
  </si>
  <si>
    <t>select count(*) from exercises = 33, đo 21/09/2026 (09/09 là 34)</t>
  </si>
  <si>
    <t>Số câu hỏi</t>
  </si>
  <si>
    <t>Không công bố</t>
  </si>
  <si>
    <t>372 câu, 7 dạng (qcm, fill, conj, vf, tableau, order, tự luận)</t>
  </si>
  <si>
    <t>select count(*) from questions = 372, đo 21/09/2026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</si>
  <si>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</si>
  <si>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</si>
  <si>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</si>
  <si>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</si>
  <si>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</si>
  <si>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</si>
  <si>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</si>
  <si>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</si>
  <si>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</si>
  <si>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</si>
  <si>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</si>
  <si>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</si>
  <si>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</si>
  <si>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</si>
  <si>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</si>
  <si>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</si>
  <si>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</si>
  <si>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</si>
  <si>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</si>
  <si>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</si>
  <si>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</si>
  <si>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</si>
  <si>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</si>
  <si>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</si>
  <si>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</si>
  <si>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</si>
  <si>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</si>
  <si>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</si>
  <si>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</si>
  <si>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tính ở MÁY CHỦ, theo ngày của NGƯỜI DÙNG chứ không theo giờ UTC</t>
  </si>
  <si>
    <t>migration 061/062; RPC chuoi_ngay_hoc (gaps-and-islands)</t>
  </si>
  <si>
    <t>Trò chơi / thi đấu</t>
  </si>
  <si>
    <t>Đấu dịch thuật PvP trực tiếp</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</si>
  <si>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</si>
  <si>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</si>
  <si>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</si>
  <si>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</si>
  <si>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</si>
  <si>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</si>
  <si>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</si>
  <si>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</si>
  <si>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</si>
  <si>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</si>
  <si>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</si>
  <si>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</si>
  <si>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</si>
  <si>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</si>
  <si>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</si>
  <si>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</si>
  <si>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</si>
  <si>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</si>
  <si>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</si>
  <si>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</si>
  <si>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</si>
  <si>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</si>
  <si>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</si>
  <si>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</si>
  <si>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</si>
  <si>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</si>
  <si>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</si>
  <si>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</si>
  <si>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</si>
  <si>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</si>
  <si>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</si>
  <si>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</si>
  <si>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Bảng và màn xem CÒN NGUYÊN, nhưng FORM ĐÃ GỠ khỏi trang giới thiệu</t>
  </si>
  <si>
    <t>Tắt có chủ đích</t>
  </si>
  <si>
    <t>migration 077–080; /professeur/lien-he. Gỡ vì chưa có trang Chính sách bảo mật</t>
  </si>
  <si>
    <t>Số tài khoản đang có</t>
  </si>
  <si>
    <t>9 người dùng (gồm cả tài khoản thử)</t>
  </si>
  <si>
    <t>select count(*) from profiles = 9, đo 21/09/2026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</si>
  <si>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</si>
  <si>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</si>
  <si>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</si>
  <si>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</si>
  <si>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</si>
  <si>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</si>
  <si>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</si>
  <si>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</si>
  <si>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</si>
  <si>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</si>
  <si>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</si>
  <si>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</si>
  <si>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</si>
  <si>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</si>
  <si>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</si>
  <si>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</si>
  <si>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</si>
  <si>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</si>
  <si>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</si>
  <si>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</si>
  <si>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</si>
  <si>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</si>
  <si>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</si>
  <si>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KHÔNG CÓ — dựng xong 21/09 rồi gỡ cùng ngày theo quyết định chủ dự án</t>
  </si>
  <si>
    <t>ĐÃ GỠ — có chủ đích</t>
  </si>
  <si>
    <t>Nội dung còn trong git. Khi vắng trang này, form tư vấn không nên bật lại</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</si>
  <si>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</si>
  <si>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</si>
  <si>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</si>
  <si>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</si>
  <si>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</si>
  <si>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</si>
  <si>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</si>
  <si>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</si>
  <si>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</si>
  <si>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</si>
  <si>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</si>
  <si>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</si>
  <si>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</si>
  <si>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</si>
  <si>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</si>
  <si>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</si>
  <si>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</si>
  <si>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</si>
  <si>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</si>
  <si>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</si>
  <si>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</si>
  <si>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</si>
  <si>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</si>
  <si>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</si>
  <si>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</si>
  <si>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</si>
  <si>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</si>
  <si>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Đường GHI vẫn CHƯA được thử tay đầy đủ — xem mục còn treo trong CLAUDE.md.</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</si>
  <si>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</si>
  <si>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</si>
  <si>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</si>
  <si>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</si>
  <si>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</si>
  <si>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</si>
  <si>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</si>
  <si>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</si>
  <si>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</si>
  <si>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</si>
  <si>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Dựng xong, 0 dữ liệu</t>
  </si>
  <si>
    <t>Chưa câu nào có neo nên chưa ai từng thấy nó chạy, kể cả chủ dự án.</t>
  </si>
  <si>
    <t>Sổ tay / mẹo</t>
  </si>
  <si>
    <t>/professeur/carnet</t>
  </si>
  <si>
    <t>/professeur/bo-the</t>
  </si>
  <si>
    <t>Đang chạy — chạy thật 21/09</t>
  </si>
  <si>
    <t>Dựng 09/09. Học sinh không còn tự tạo thẻ — chỉ giáo viên soạn, chặn ở database bằng RLS chứ không chỉ ẩn nút.</t>
  </si>
  <si>
    <t>Xem đăng ký tư vấn</t>
  </si>
  <si>
    <t>/professeur/lien-he</t>
  </si>
  <si>
    <t>Đang chạy, nhưng không có nguồn vào</t>
  </si>
  <si>
    <t>Form đã gỡ khỏi trang giới thiệu, nên chưa có đường nào để ai gửi thông tin vào.</t>
  </si>
  <si>
    <t>Nghe bản ghi âm bài nói của học sinh</t>
  </si>
  <si>
    <t>/professeur/oral</t>
  </si>
  <si>
    <t>CẦN QUYẾT</t>
  </si>
  <si>
    <t>Màn này KHÔNG cho điểm, chỉ nghe và nhắn nhận xét. Bỏ hẳn vai chấm thì nên gỡ; giữ vai kèm cặp thì giữ. Đây là ranh giới cần chủ dự án quyết.</t>
  </si>
  <si>
    <t>Chấm bài viết của học sinh</t>
  </si>
  <si>
    <t>/professeur/copies</t>
  </si>
  <si>
    <t>ĐÃ GỠ</t>
  </si>
  <si>
    <t>Không còn trong mã</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</si>
  <si>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</si>
  <si>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</si>
  <si>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</si>
  <si>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</si>
  <si>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</si>
  <si>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</si>
  <si>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</si>
  <si>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</si>
  <si>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</si>
  <si>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</si>
  <si>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</si>
  <si>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</si>
  <si>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</si>
  <si>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</si>
  <si>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</si>
  <si>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</si>
  <si>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</si>
  <si>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</si>
  <si>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t>
  </si>
  <si>
    <t>Câu có lời giải thích</t>
  </si>
  <si>
    <t>questions where explanation is not null</t>
  </si>
  <si>
    <t>Câu có neo ngữ liệu</t>
  </si>
  <si>
    <t>questions where evidence is not null</t>
  </si>
  <si>
    <t>Đề thi thử</t>
  </si>
  <si>
    <t>select count(*) from exams</t>
  </si>
  <si>
    <t>Bộ Flashcard (cả bốn công khai)</t>
  </si>
  <si>
    <t>select count(*) from the_bo</t>
  </si>
  <si>
    <t>22/09/2026</t>
  </si>
  <si>
    <t>Thẻ trong các bộ</t>
  </si>
  <si>
    <t>select count(*) from the_bo_the</t>
  </si>
  <si>
    <t>Thẻ SM-2 cũ (không màn nào mở)</t>
  </si>
  <si>
    <t>select count(*) from cards</t>
  </si>
  <si>
    <t>Lượt trả lời đã ghi</t>
  </si>
  <si>
    <t>select count(*) from answers</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</si>
  <si>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</si>
  <si>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</si>
  <si>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</si>
  <si>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</si>
  <si>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</si>
  <si>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</si>
  <si>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</si>
  <si>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</si>
  <si>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</si>
  <si>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</si>
  <si>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</si>
  <si>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</si>
  <si>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</si>
  <si>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</si>
  <si>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</si>
  <si>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</si>
  <si>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</si>
  <si>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</si>
  <si>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</si>
  <si>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</si>
  <si>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</si>
  <si>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</si>
  <si>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</si>
  <si>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</si>
  <si>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</si>
  <si>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</si>
  <si>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</si>
  <si>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</si>
  <si>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</si>
  <si>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</si>
  <si>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</si>
  <si>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</si>
  <si>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</si>
  <si>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</si>
  <si>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</si>
  <si>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</si>
  <si>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</si>
  <si>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</si>
  <si>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</si>
  <si>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</si>
  <si>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</si>
  <si>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</si>
  <si>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Vẫn là việc rẻ nhất có tác động lớn nhất: mọi thứ đã dựng và đã kiểm, chỉ thiếu một khoá.</t>
  </si>
  <si>
    <t>npx supabase secrets set ANTHROPIC_API_KEY=sk-ant-…</t>
  </si>
  <si>
    <t>5 phút</t>
  </si>
  <si>
    <t>Điền email liên hệ cho FAQ và Điều khoản</t>
  </si>
  <si>
    <t>Cả hai trang tự hiện cảnh báo vàng cho tới khi có email.</t>
  </si>
  <si>
    <t>EMAIL_LIEN_HE trong src/screens/public/TrangPhapLy.jsx</t>
  </si>
  <si>
    <t>2 phút</t>
  </si>
  <si>
    <t>Mai (23/09) mở lại bộ « Thông báo ở nhà ga »</t>
  </si>
  <si>
    <t>Hai thẻ đã chấm hẹn ôn ngày 23/09. Nếu chúng hiện lại đúng ngày đó thì lịch ôn đã chạy trọn một vòng — lần đầu tiên.</t>
  </si>
  <si>
    <t>/etudiant/bo-the — nhớ Ctrl+F5</t>
  </si>
  <si>
    <t>Xem neo từ phía học sinh</t>
  </si>
  <si>
    <t>Mở lại bài « L'impact des locations saisonnières » bằng tài khoản đã làm bài, vào phần chữa bài: đoạn chứa đáp án phải được tô sáng.</t>
  </si>
  <si>
    <t>Tài khoản học sinh đã làm bài đó — nhớ Ctrl+F5</t>
  </si>
  <si>
    <t>Thử lại lưu lời giải và đặt neo qua giao diện giáo viên</t>
  </si>
  <si>
    <t>Đầu tháng hai đường này báo « đã lưu » mà không lưu. Nếu nguyên nhân là tab chạy bản cũ thì sau Ctrl+F5 chúng sẽ lưu được — và lỗi cũ coi như đã có lời giải.</t>
  </si>
  <si>
    <t>/professeur/loi-giai và /professeur/neo</t>
  </si>
  <si>
    <t>10 phút</t>
  </si>
  <si>
    <t>Quyết số phận /professeur/oral</t>
  </si>
  <si>
    <t>Màn nghe bài nói không cho điểm, chỉ nghe và nhắn nhận xét.</t>
  </si>
  <si>
    <t>App.jsx; BaiNoiGiaoVien.jsx; navItems.js</t>
  </si>
  <si>
    <t>1 buổi, sau khi quyết</t>
  </si>
  <si>
    <t>Dọn hoặc giữ hai tài khoản thử</t>
  </si>
  <si>
    <t>7 trong 8 « bài tự luận chưa chấm » thuộc về chúng, và chúng làm lệch mọi con số về học sinh.</t>
  </si>
  <si>
    <t>Quyết định — xoá tài khoản là việc không hoàn lại</t>
  </si>
  <si>
    <t>quyết định</t>
  </si>
  <si>
    <t>Cân nhắc dựng lại Chính sách bảo mật trước khi thu tiền nhiều</t>
  </si>
  <si>
    <t>Đã gỡ theo quyết định 21/09; nội dung còn trong git.</t>
  </si>
  <si>
    <t>Lấy TrangBaoMat từ commit cũ + route /bao-mat</t>
  </si>
  <si>
    <t>30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</si>
</sst>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8" fillId="6" borderId="1" xfId="0" applyFont="1" applyFill="1" applyBorder="1" applyAlignment="1">
      <alignment vertical="top" wrapText="1"/>
    </xf>
    <xf numFmtId="0" fontId="7" fillId="6" borderId="1" xfId="0" applyFont="1" applyFill="1" applyBorder="1" applyAlignment="1">
      <alignment vertical="top" wrapText="1"/>
    </xf>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4"/>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tiết'!$A$2:$A$51,$A7)</f>
        <v>8</v>
      </c>
      <c r="C7" s="5">
        <f>SUMPRODUCT(('So sánh chi tiết'!$A$2:$A$51=$A7)*('So sánh chi tiết'!$D$2:$D$51&lt;&gt;"")*('So sánh chi tiết'!$F$2:$F$51&lt;&gt;""))</f>
        <v>6</v>
      </c>
      <c r="D7" s="6">
        <f>IFERROR(SUMPRODUCT(('So sánh chi tiết'!$A$2:$A$51=$A7)*('So sánh chi tiết'!$D$2:$D$51&lt;&gt;"")*('So sánh chi tiết'!$F$2:$F$51&lt;&gt;"")*'So sánh chi tiết'!$D$2:$D$51)/SUMPRODUCT(('So sánh chi tiết'!$A$2:$A$51=$A7)*('So sánh chi tiết'!$D$2:$D$51&lt;&gt;"")*('So sánh chi tiết'!$F$2:$F$51&lt;&gt;"")),"")</f>
        <v>1.6666666666666667</v>
      </c>
      <c r="E7" s="6">
        <f>IFERROR(SUMPRODUCT(('So sánh chi tiết'!$A$2:$A$51=$A7)*('So sánh chi tiết'!$D$2:$D$51&lt;&gt;"")*('So sánh chi tiết'!$F$2:$F$51&lt;&gt;"")*'So sánh chi tiết'!$F$2:$F$51)/SUMPRODUCT(('So sánh chi tiết'!$A$2:$A$51=$A7)*('So sánh chi tiết'!$D$2:$D$51&lt;&gt;"")*('So sánh chi tiết'!$F$2:$F$51&lt;&gt;"")),"")</f>
        <v>1</v>
      </c>
      <c r="F7" s="6">
        <f>IFERROR(E7-D7,"")</f>
        <v>-0.6666666666666667</v>
      </c>
      <c r="G7" s="7" t="str">
        <f>IF(OR(C7&lt;3,F7=""),"quá ít mục",IF(F7&gt;0.25,"FRACILE",IF(F7&lt;-0.25,"Vivoire","ngang nhau")))</f>
        <v>Vivoire</v>
      </c>
    </row>
    <row r="8" ht="20" customHeight="1" spans="1:7" x14ac:dyDescent="0.25">
      <c r="A8" s="4" t="s">
        <v>12</v>
      </c>
      <c r="B8" s="5">
        <f>COUNTIF('So sánh chi tiết'!$A$2:$A$51,$A8)</f>
        <v>6</v>
      </c>
      <c r="C8" s="5">
        <f>SUMPRODUCT(('So sánh chi tiết'!$A$2:$A$51=$A8)*('So sánh chi tiết'!$D$2:$D$51&lt;&gt;"")*('So sánh chi tiết'!$F$2:$F$51&lt;&gt;""))</f>
        <v>1</v>
      </c>
      <c r="D8" s="6">
        <f>IFERROR(SUMPRODUCT(('So sánh chi tiết'!$A$2:$A$51=$A8)*('So sánh chi tiết'!$D$2:$D$51&lt;&gt;"")*('So sánh chi tiết'!$F$2:$F$51&lt;&gt;"")*'So sánh chi tiết'!$D$2:$D$51)/SUMPRODUCT(('So sánh chi tiết'!$A$2:$A$51=$A8)*('So sánh chi tiết'!$D$2:$D$51&lt;&gt;"")*('So sánh chi tiết'!$F$2:$F$51&lt;&gt;"")),"")</f>
        <v>2</v>
      </c>
      <c r="E8" s="6">
        <f>IFERROR(SUMPRODUCT(('So sánh chi tiết'!$A$2:$A$51=$A8)*('So sánh chi tiết'!$D$2:$D$51&lt;&gt;"")*('So sánh chi tiết'!$F$2:$F$51&lt;&gt;"")*'So sánh chi tiết'!$F$2:$F$51)/SUMPRODUCT(('So sánh chi tiết'!$A$2:$A$51=$A8)*('So sánh chi tiết'!$D$2:$D$51&lt;&gt;"")*('So sánh chi tiết'!$F$2:$F$51&lt;&gt;"")),"")</f>
        <v>1</v>
      </c>
      <c r="F8" s="6">
        <f>IFERROR(E8-D8,"")</f>
        <v>-1</v>
      </c>
      <c r="G8" s="7" t="str">
        <f>IF(OR(C8&lt;3,F8=""),"quá ít mục",IF(F8&gt;0.25,"FRACILE",IF(F8&lt;-0.25,"Vivoire","ngang nhau")))</f>
        <v>quá ít mục</v>
      </c>
    </row>
    <row r="9" ht="20" customHeight="1" spans="1:7" x14ac:dyDescent="0.25">
      <c r="A9" s="4" t="s">
        <v>13</v>
      </c>
      <c r="B9" s="5">
        <f>COUNTIF('So sánh chi tiết'!$A$2:$A$51,$A9)</f>
        <v>7</v>
      </c>
      <c r="C9" s="5">
        <f>SUMPRODUCT(('So sánh chi tiết'!$A$2:$A$51=$A9)*('So sánh chi tiết'!$D$2:$D$51&lt;&gt;"")*('So sánh chi tiết'!$F$2:$F$51&lt;&gt;""))</f>
        <v>5</v>
      </c>
      <c r="D9" s="6">
        <f>IFERROR(SUMPRODUCT(('So sánh chi tiết'!$A$2:$A$51=$A9)*('So sánh chi tiết'!$D$2:$D$51&lt;&gt;"")*('So sánh chi tiết'!$F$2:$F$51&lt;&gt;"")*'So sánh chi tiết'!$D$2:$D$51)/SUMPRODUCT(('So sánh chi tiết'!$A$2:$A$51=$A9)*('So sánh chi tiết'!$D$2:$D$51&lt;&gt;"")*('So sánh chi tiết'!$F$2:$F$51&lt;&gt;"")),"")</f>
        <v>2</v>
      </c>
      <c r="E9" s="6">
        <f>IFERROR(SUMPRODUCT(('So sánh chi tiết'!$A$2:$A$51=$A9)*('So sánh chi tiết'!$D$2:$D$51&lt;&gt;"")*('So sánh chi tiết'!$F$2:$F$51&lt;&gt;"")*'So sánh chi tiết'!$F$2:$F$51)/SUMPRODUCT(('So sánh chi tiết'!$A$2:$A$51=$A9)*('So sánh chi tiết'!$D$2:$D$51&lt;&gt;"")*('So sánh chi tiết'!$F$2:$F$51&lt;&gt;"")),"")</f>
        <v>0.6</v>
      </c>
      <c r="F9" s="6">
        <f>IFERROR(E9-D9,"")</f>
        <v>-1.4</v>
      </c>
      <c r="G9" s="7" t="str">
        <f>IF(OR(C9&lt;3,F9=""),"quá ít mục",IF(F9&gt;0.25,"FRACILE",IF(F9&lt;-0.25,"Vivoire","ngang nhau")))</f>
        <v>Vivoire</v>
      </c>
    </row>
    <row r="10" ht="20" customHeight="1" spans="1:7" x14ac:dyDescent="0.25">
      <c r="A10" s="4" t="s">
        <v>14</v>
      </c>
      <c r="B10" s="5">
        <f>COUNTIF('So sánh chi tiết'!$A$2:$A$51,$A10)</f>
        <v>6</v>
      </c>
      <c r="C10" s="5">
        <f>SUMPRODUCT(('So sánh chi tiết'!$A$2:$A$51=$A10)*('So sánh chi tiết'!$D$2:$D$51&lt;&gt;"")*('So sánh chi tiết'!$F$2:$F$51&lt;&gt;""))</f>
        <v>3</v>
      </c>
      <c r="D10" s="6">
        <f>IFERROR(SUMPRODUCT(('So sánh chi tiết'!$A$2:$A$51=$A10)*('So sánh chi tiết'!$D$2:$D$51&lt;&gt;"")*('So sánh chi tiết'!$F$2:$F$51&lt;&gt;"")*'So sánh chi tiết'!$D$2:$D$51)/SUMPRODUCT(('So sánh chi tiết'!$A$2:$A$51=$A10)*('So sánh chi tiết'!$D$2:$D$51&lt;&gt;"")*('So sánh chi tiết'!$F$2:$F$51&lt;&gt;"")),"")</f>
        <v>2</v>
      </c>
      <c r="E10" s="6">
        <f>IFERROR(SUMPRODUCT(('So sánh chi tiết'!$A$2:$A$51=$A10)*('So sánh chi tiết'!$D$2:$D$51&lt;&gt;"")*('So sánh chi tiết'!$F$2:$F$51&lt;&gt;"")*'So sánh chi tiết'!$F$2:$F$51)/SUMPRODUCT(('So sánh chi tiết'!$A$2:$A$51=$A10)*('So sánh chi tiết'!$D$2:$D$51&lt;&gt;"")*('So sánh chi tiết'!$F$2:$F$51&lt;&gt;"")),"")</f>
        <v>1.3333333333333333</v>
      </c>
      <c r="F10" s="6">
        <f>IFERROR(E10-D10,"")</f>
        <v>-0.6666666666666667</v>
      </c>
      <c r="G10" s="7" t="str">
        <f>IF(OR(C10&lt;3,F10=""),"quá ít mục",IF(F10&gt;0.25,"FRACILE",IF(F10&lt;-0.25,"Vivoire","ngang nhau")))</f>
        <v>Vivoire</v>
      </c>
    </row>
    <row r="11" ht="20" customHeight="1" spans="1:7" x14ac:dyDescent="0.25">
      <c r="A11" s="4" t="s">
        <v>15</v>
      </c>
      <c r="B11" s="5">
        <f>COUNTIF('So sánh chi tiết'!$A$2:$A$51,$A11)</f>
        <v>11</v>
      </c>
      <c r="C11" s="5">
        <f>SUMPRODUCT(('So sánh chi tiết'!$A$2:$A$51=$A11)*('So sánh chi tiết'!$D$2:$D$51&lt;&gt;"")*('So sánh chi tiết'!$F$2:$F$51&lt;&gt;""))</f>
        <v>5</v>
      </c>
      <c r="D11" s="6">
        <f>IFERROR(SUMPRODUCT(('So sánh chi tiết'!$A$2:$A$51=$A11)*('So sánh chi tiết'!$D$2:$D$51&lt;&gt;"")*('So sánh chi tiết'!$F$2:$F$51&lt;&gt;"")*'So sánh chi tiết'!$D$2:$D$51)/SUMPRODUCT(('So sánh chi tiết'!$A$2:$A$51=$A11)*('So sánh chi tiết'!$D$2:$D$51&lt;&gt;"")*('So sánh chi tiết'!$F$2:$F$51&lt;&gt;"")),"")</f>
        <v>2</v>
      </c>
      <c r="E11" s="6">
        <f>IFERROR(SUMPRODUCT(('So sánh chi tiết'!$A$2:$A$51=$A11)*('So sánh chi tiết'!$D$2:$D$51&lt;&gt;"")*('So sánh chi tiết'!$F$2:$F$51&lt;&gt;"")*'So sánh chi tiết'!$F$2:$F$51)/SUMPRODUCT(('So sánh chi tiết'!$A$2:$A$51=$A11)*('So sánh chi tiết'!$D$2:$D$51&lt;&gt;"")*('So sánh chi tiết'!$F$2:$F$51&lt;&gt;"")),"")</f>
        <v>1</v>
      </c>
      <c r="F11" s="6">
        <f>IFERROR(E11-D11,"")</f>
        <v>-1</v>
      </c>
      <c r="G11" s="7" t="str">
        <f>IF(OR(C11&lt;3,F11=""),"quá ít mục",IF(F11&gt;0.25,"FRACILE",IF(F11&lt;-0.25,"Vivoire","ngang nhau")))</f>
        <v>Vivoire</v>
      </c>
    </row>
    <row r="12" ht="20" customHeight="1" spans="1:7" x14ac:dyDescent="0.25">
      <c r="A12" s="4" t="s">
        <v>16</v>
      </c>
      <c r="B12" s="5">
        <f>COUNTIF('So sánh chi tiết'!$A$2:$A$51,$A12)</f>
        <v>6</v>
      </c>
      <c r="C12" s="5">
        <f>SUMPRODUCT(('So sánh chi tiết'!$A$2:$A$51=$A12)*('So sánh chi tiết'!$D$2:$D$51&lt;&gt;"")*('So sánh chi tiết'!$F$2:$F$51&lt;&gt;""))</f>
        <v>5</v>
      </c>
      <c r="D12" s="6">
        <f>IFERROR(SUMPRODUCT(('So sánh chi tiết'!$A$2:$A$51=$A12)*('So sánh chi tiết'!$D$2:$D$51&lt;&gt;"")*('So sánh chi tiết'!$F$2:$F$51&lt;&gt;"")*'So sánh chi tiết'!$D$2:$D$51)/SUMPRODUCT(('So sánh chi tiết'!$A$2:$A$51=$A12)*('So sánh chi tiết'!$D$2:$D$51&lt;&gt;"")*('So sánh chi tiết'!$F$2:$F$51&lt;&gt;"")),"")</f>
        <v>1.8</v>
      </c>
      <c r="E12" s="6">
        <f>IFERROR(SUMPRODUCT(('So sánh chi tiết'!$A$2:$A$51=$A12)*('So sánh chi tiết'!$D$2:$D$51&lt;&gt;"")*('So sánh chi tiết'!$F$2:$F$51&lt;&gt;"")*'So sánh chi tiết'!$F$2:$F$51)/SUMPRODUCT(('So sánh chi tiết'!$A$2:$A$51=$A12)*('So sánh chi tiết'!$D$2:$D$51&lt;&gt;"")*('So sánh chi tiết'!$F$2:$F$51&lt;&gt;"")),"")</f>
        <v>1</v>
      </c>
      <c r="F12" s="6">
        <f>IFERROR(E12-D12,"")</f>
        <v>-0.8</v>
      </c>
      <c r="G12" s="7" t="str">
        <f>IF(OR(C12&lt;3,F12=""),"quá ít mục",IF(F12&gt;0.25,"FRACILE",IF(F12&lt;-0.25,"Vivoire","ngang nhau")))</f>
        <v>Vivoire</v>
      </c>
    </row>
    <row r="13" ht="20" customHeight="1" spans="1:7" x14ac:dyDescent="0.25">
      <c r="A13" s="4" t="s">
        <v>17</v>
      </c>
      <c r="B13" s="5">
        <f>COUNTIF('So sánh chi tiết'!$A$2:$A$51,$A13)</f>
        <v>6</v>
      </c>
      <c r="C13" s="5">
        <f>SUMPRODUCT(('So sánh chi tiết'!$A$2:$A$51=$A13)*('So sánh chi tiết'!$D$2:$D$51&lt;&gt;"")*('So sánh chi tiết'!$F$2:$F$51&lt;&gt;""))</f>
        <v>5</v>
      </c>
      <c r="D13" s="6">
        <f>IFERROR(SUMPRODUCT(('So sánh chi tiết'!$A$2:$A$51=$A13)*('So sánh chi tiết'!$D$2:$D$51&lt;&gt;"")*('So sánh chi tiết'!$F$2:$F$51&lt;&gt;"")*'So sánh chi tiết'!$D$2:$D$51)/SUMPRODUCT(('So sánh chi tiết'!$A$2:$A$51=$A13)*('So sánh chi tiết'!$D$2:$D$51&lt;&gt;"")*('So sánh chi tiết'!$F$2:$F$51&lt;&gt;"")),"")</f>
        <v>1.8</v>
      </c>
      <c r="E13" s="6">
        <f>IFERROR(SUMPRODUCT(('So sánh chi tiết'!$A$2:$A$51=$A13)*('So sánh chi tiết'!$D$2:$D$51&lt;&gt;"")*('So sánh chi tiết'!$F$2:$F$51&lt;&gt;"")*'So sánh chi tiết'!$F$2:$F$51)/SUMPRODUCT(('So sánh chi tiết'!$A$2:$A$51=$A13)*('So sánh chi tiết'!$D$2:$D$51&lt;&gt;"")*('So sánh chi tiết'!$F$2:$F$51&lt;&gt;"")),"")</f>
        <v>1</v>
      </c>
      <c r="F13" s="6">
        <f>IFERROR(E13-D13,"")</f>
        <v>-0.8</v>
      </c>
      <c r="G13" s="7" t="str">
        <f>IF(OR(C13&lt;3,F13=""),"quá ít mục",IF(F13&gt;0.25,"FRACILE",IF(F13&lt;-0.25,"Vivoire","ngang nhau")))</f>
        <v>Vivoire</v>
      </c>
    </row>
    <row r="14" spans="1:7" x14ac:dyDescent="0.25">
      <c r="A14" s="8" t="s">
        <v>18</v>
      </c>
      <c r="B14" s="9">
        <f>SUM(B7:B13)</f>
        <v>50</v>
      </c>
      <c r="C14" s="9">
        <f>SUM(C7:C13)</f>
        <v>30</v>
      </c>
      <c r="D14" s="10">
        <f>IFERROR(SUMPRODUCT(('So sánh chi tiết'!$D$2:$D$51&lt;&gt;"")*('So sánh chi tiết'!$F$2:$F$51&lt;&gt;"")*'So sánh chi tiết'!$D$2:$D$51)/SUMPRODUCT(('So sánh chi tiết'!$D$2:$D$51&lt;&gt;"")*('So sánh chi tiết'!$F$2:$F$51&lt;&gt;"")),"")</f>
        <v>1.8666666666666667</v>
      </c>
      <c r="E14" s="10">
        <f>IFERROR(SUMPRODUCT(('So sánh chi tiết'!$D$2:$D$51&lt;&gt;"")*('So sánh chi tiết'!$F$2:$F$51&lt;&gt;"")*'So sánh chi tiết'!$F$2:$F$51)/SUMPRODUCT(('So sánh chi tiết'!$D$2:$D$51&lt;&gt;"")*('So sánh chi tiết'!$F$2:$F$51&lt;&gt;"")),"")</f>
        <v>0.9666666666666667</v>
      </c>
      <c r="F14" s="10">
        <f>E14-D14</f>
        <v>-0.9</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sheetData>
  <mergeCells count="8">
    <mergeCell ref="A17:G19"/>
    <mergeCell ref="B28:G28"/>
    <mergeCell ref="B29:G29"/>
    <mergeCell ref="B30:G30"/>
    <mergeCell ref="B31:G31"/>
    <mergeCell ref="B32:G32"/>
    <mergeCell ref="B33:G33"/>
    <mergeCell ref="B34:G3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1"/>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45</v>
      </c>
      <c r="C1" s="3" t="s">
        <v>46</v>
      </c>
      <c r="D1" s="3" t="s">
        <v>47</v>
      </c>
      <c r="E1" s="3" t="s">
        <v>48</v>
      </c>
      <c r="F1" s="3" t="s">
        <v>49</v>
      </c>
      <c r="G1" s="3" t="s">
        <v>50</v>
      </c>
      <c r="H1" s="3" t="s">
        <v>51</v>
      </c>
      <c r="I1" s="3" t="s">
        <v>52</v>
      </c>
    </row>
    <row r="2" ht="44" customHeight="1" spans="1:9" x14ac:dyDescent="0.25">
      <c r="A2" s="19" t="s">
        <v>11</v>
      </c>
      <c r="B2" s="20" t="s">
        <v>53</v>
      </c>
      <c r="C2" s="21" t="s">
        <v>54</v>
      </c>
      <c r="D2" s="22">
        <v>2</v>
      </c>
      <c r="E2" s="21" t="s">
        <v>55</v>
      </c>
      <c r="F2" s="22">
        <v>2</v>
      </c>
      <c r="G2" s="23" t="str">
        <f>IF(OR(D2="",F2=""),"chưa rõ",IF(F2&gt;D2,"FRACILE",IF(D2&gt;F2,"Vivoire","hoà")))</f>
        <v>hoà</v>
      </c>
      <c r="H2" s="19" t="s">
        <v>56</v>
      </c>
      <c r="I2" s="24" t="s">
        <v>57</v>
      </c>
    </row>
    <row r="3" ht="44" customHeight="1" spans="1:9" x14ac:dyDescent="0.25">
      <c r="A3" s="25" t="s">
        <v>11</v>
      </c>
      <c r="B3" s="26" t="s">
        <v>58</v>
      </c>
      <c r="C3" s="27" t="s">
        <v>59</v>
      </c>
      <c r="D3" s="28"/>
      <c r="E3" s="27" t="s">
        <v>60</v>
      </c>
      <c r="F3" s="28">
        <v>2</v>
      </c>
      <c r="G3" s="29" t="str">
        <f>IF(OR(D3="",F3=""),"chưa rõ",IF(F3&gt;D3,"FRACILE",IF(D3&gt;F3,"Vivoire","hoà")))</f>
        <v>chưa rõ</v>
      </c>
      <c r="H3" s="25" t="s">
        <v>56</v>
      </c>
      <c r="I3" s="30" t="s">
        <v>61</v>
      </c>
    </row>
    <row r="4" ht="44" customHeight="1" spans="1:9" x14ac:dyDescent="0.25">
      <c r="A4" s="19" t="s">
        <v>11</v>
      </c>
      <c r="B4" s="20" t="s">
        <v>62</v>
      </c>
      <c r="C4" s="21" t="s">
        <v>63</v>
      </c>
      <c r="D4" s="22">
        <v>2</v>
      </c>
      <c r="E4" s="21" t="s">
        <v>64</v>
      </c>
      <c r="F4" s="22">
        <v>1</v>
      </c>
      <c r="G4" s="23" t="str">
        <f>IF(OR(D4="",F4=""),"chưa rõ",IF(F4&gt;D4,"FRACILE",IF(D4&gt;F4,"Vivoire","hoà")))</f>
        <v>Vivoire</v>
      </c>
      <c r="H4" s="19" t="s">
        <v>65</v>
      </c>
      <c r="I4" s="24" t="s">
        <v>66</v>
      </c>
    </row>
    <row r="5" ht="44" customHeight="1" spans="1:9" x14ac:dyDescent="0.25">
      <c r="A5" s="19" t="s">
        <v>11</v>
      </c>
      <c r="B5" s="20" t="s">
        <v>67</v>
      </c>
      <c r="C5" s="21" t="s">
        <v>68</v>
      </c>
      <c r="D5" s="22">
        <v>2</v>
      </c>
      <c r="E5" s="21" t="s">
        <v>69</v>
      </c>
      <c r="F5" s="22">
        <v>1</v>
      </c>
      <c r="G5" s="23" t="str">
        <f>IF(OR(D5="",F5=""),"chưa rõ",IF(F5&gt;D5,"FRACILE",IF(D5&gt;F5,"Vivoire","hoà")))</f>
        <v>Vivoire</v>
      </c>
      <c r="H5" s="19" t="s">
        <v>56</v>
      </c>
      <c r="I5" s="24" t="s">
        <v>70</v>
      </c>
    </row>
    <row r="6" ht="44" customHeight="1" spans="1:9" x14ac:dyDescent="0.25">
      <c r="A6" s="31" t="s">
        <v>11</v>
      </c>
      <c r="B6" s="32" t="s">
        <v>71</v>
      </c>
      <c r="C6" s="33" t="s">
        <v>72</v>
      </c>
      <c r="D6" s="34">
        <v>2</v>
      </c>
      <c r="E6" s="33" t="s">
        <v>73</v>
      </c>
      <c r="F6" s="34">
        <v>0</v>
      </c>
      <c r="G6" s="35" t="str">
        <f>IF(OR(D6="",F6=""),"chưa rõ",IF(F6&gt;D6,"FRACILE",IF(D6&gt;F6,"Vivoire","hoà")))</f>
        <v>Vivoire</v>
      </c>
      <c r="H6" s="31" t="s">
        <v>74</v>
      </c>
      <c r="I6" s="36" t="s">
        <v>75</v>
      </c>
    </row>
    <row r="7" ht="44" customHeight="1" spans="1:9" x14ac:dyDescent="0.25">
      <c r="A7" s="31" t="s">
        <v>11</v>
      </c>
      <c r="B7" s="32" t="s">
        <v>76</v>
      </c>
      <c r="C7" s="33" t="s">
        <v>77</v>
      </c>
      <c r="D7" s="34">
        <v>2</v>
      </c>
      <c r="E7" s="33" t="s">
        <v>78</v>
      </c>
      <c r="F7" s="34">
        <v>0</v>
      </c>
      <c r="G7" s="35" t="str">
        <f>IF(OR(D7="",F7=""),"chưa rõ",IF(F7&gt;D7,"FRACILE",IF(D7&gt;F7,"Vivoire","hoà")))</f>
        <v>Vivoire</v>
      </c>
      <c r="H7" s="31" t="s">
        <v>79</v>
      </c>
      <c r="I7" s="36" t="s">
        <v>80</v>
      </c>
    </row>
    <row r="8" ht="44" customHeight="1" spans="1:9" x14ac:dyDescent="0.25">
      <c r="A8" s="25" t="s">
        <v>11</v>
      </c>
      <c r="B8" s="26" t="s">
        <v>81</v>
      </c>
      <c r="C8" s="27" t="s">
        <v>82</v>
      </c>
      <c r="D8" s="28"/>
      <c r="E8" s="27" t="s">
        <v>83</v>
      </c>
      <c r="F8" s="28">
        <v>2</v>
      </c>
      <c r="G8" s="29" t="str">
        <f>IF(OR(D8="",F8=""),"chưa rõ",IF(F8&gt;D8,"FRACILE",IF(D8&gt;F8,"Vivoire","hoà")))</f>
        <v>chưa rõ</v>
      </c>
      <c r="H8" s="25" t="s">
        <v>56</v>
      </c>
      <c r="I8" s="30" t="s">
        <v>84</v>
      </c>
    </row>
    <row r="9" ht="44" customHeight="1" spans="1:9" x14ac:dyDescent="0.25">
      <c r="A9" s="25" t="s">
        <v>11</v>
      </c>
      <c r="B9" s="26" t="s">
        <v>85</v>
      </c>
      <c r="C9" s="27" t="s">
        <v>23</v>
      </c>
      <c r="D9" s="28">
        <v>0</v>
      </c>
      <c r="E9" s="27" t="s">
        <v>86</v>
      </c>
      <c r="F9" s="28">
        <v>2</v>
      </c>
      <c r="G9" s="29" t="str">
        <f>IF(OR(D9="",F9=""),"chưa rõ",IF(F9&gt;D9,"FRACILE",IF(D9&gt;F9,"Vivoire","hoà")))</f>
        <v>FRACILE</v>
      </c>
      <c r="H9" s="25" t="s">
        <v>87</v>
      </c>
      <c r="I9" s="30" t="s">
        <v>88</v>
      </c>
    </row>
    <row r="10" ht="44" customHeight="1" spans="1:9" x14ac:dyDescent="0.25">
      <c r="A10" s="19" t="s">
        <v>12</v>
      </c>
      <c r="B10" s="20" t="s">
        <v>89</v>
      </c>
      <c r="C10" s="21" t="s">
        <v>90</v>
      </c>
      <c r="D10" s="22">
        <v>2</v>
      </c>
      <c r="E10" s="21" t="s">
        <v>91</v>
      </c>
      <c r="F10" s="22">
        <v>1</v>
      </c>
      <c r="G10" s="23" t="str">
        <f>IF(OR(D10="",F10=""),"chưa rõ",IF(F10&gt;D10,"FRACILE",IF(D10&gt;F10,"Vivoire","hoà")))</f>
        <v>Vivoire</v>
      </c>
      <c r="H10" s="19" t="s">
        <v>56</v>
      </c>
      <c r="I10" s="24" t="s">
        <v>92</v>
      </c>
    </row>
    <row r="11" ht="44" customHeight="1" spans="1:9" x14ac:dyDescent="0.25">
      <c r="A11" s="25" t="s">
        <v>12</v>
      </c>
      <c r="B11" s="26" t="s">
        <v>93</v>
      </c>
      <c r="C11" s="27" t="s">
        <v>94</v>
      </c>
      <c r="D11" s="28"/>
      <c r="E11" s="27" t="s">
        <v>95</v>
      </c>
      <c r="F11" s="28">
        <v>2</v>
      </c>
      <c r="G11" s="29" t="str">
        <f>IF(OR(D11="",F11=""),"chưa rõ",IF(F11&gt;D11,"FRACILE",IF(D11&gt;F11,"Vivoire","hoà")))</f>
        <v>chưa rõ</v>
      </c>
      <c r="H11" s="25" t="s">
        <v>56</v>
      </c>
      <c r="I11" s="30" t="s">
        <v>96</v>
      </c>
    </row>
    <row r="12" ht="44" customHeight="1" spans="1:9" x14ac:dyDescent="0.25">
      <c r="A12" s="25" t="s">
        <v>12</v>
      </c>
      <c r="B12" s="26" t="s">
        <v>97</v>
      </c>
      <c r="C12" s="27" t="s">
        <v>94</v>
      </c>
      <c r="D12" s="28"/>
      <c r="E12" s="27" t="s">
        <v>98</v>
      </c>
      <c r="F12" s="28">
        <v>2</v>
      </c>
      <c r="G12" s="29" t="str">
        <f>IF(OR(D12="",F12=""),"chưa rõ",IF(F12&gt;D12,"FRACILE",IF(D12&gt;F12,"Vivoire","hoà")))</f>
        <v>chưa rõ</v>
      </c>
      <c r="H12" s="25" t="s">
        <v>56</v>
      </c>
      <c r="I12" s="30" t="s">
        <v>99</v>
      </c>
    </row>
    <row r="13" ht="44" customHeight="1" spans="1:9" x14ac:dyDescent="0.25">
      <c r="A13" s="25" t="s">
        <v>12</v>
      </c>
      <c r="B13" s="26" t="s">
        <v>100</v>
      </c>
      <c r="C13" s="27" t="s">
        <v>94</v>
      </c>
      <c r="D13" s="28"/>
      <c r="E13" s="27" t="s">
        <v>101</v>
      </c>
      <c r="F13" s="28">
        <v>2</v>
      </c>
      <c r="G13" s="29" t="str">
        <f>IF(OR(D13="",F13=""),"chưa rõ",IF(F13&gt;D13,"FRACILE",IF(D13&gt;F13,"Vivoire","hoà")))</f>
        <v>chưa rõ</v>
      </c>
      <c r="H13" s="25" t="s">
        <v>56</v>
      </c>
      <c r="I13" s="30" t="s">
        <v>102</v>
      </c>
    </row>
    <row r="14" ht="44" customHeight="1" spans="1:9" x14ac:dyDescent="0.25">
      <c r="A14" s="25" t="s">
        <v>12</v>
      </c>
      <c r="B14" s="26" t="s">
        <v>103</v>
      </c>
      <c r="C14" s="27" t="s">
        <v>94</v>
      </c>
      <c r="D14" s="28"/>
      <c r="E14" s="27" t="s">
        <v>104</v>
      </c>
      <c r="F14" s="28">
        <v>2</v>
      </c>
      <c r="G14" s="29" t="str">
        <f>IF(OR(D14="",F14=""),"chưa rõ",IF(F14&gt;D14,"FRACILE",IF(D14&gt;F14,"Vivoire","hoà")))</f>
        <v>chưa rõ</v>
      </c>
      <c r="H14" s="25" t="s">
        <v>56</v>
      </c>
      <c r="I14" s="30" t="s">
        <v>105</v>
      </c>
    </row>
    <row r="15" ht="44" customHeight="1" spans="1:9" x14ac:dyDescent="0.25">
      <c r="A15" s="25" t="s">
        <v>12</v>
      </c>
      <c r="B15" s="26" t="s">
        <v>106</v>
      </c>
      <c r="C15" s="27" t="s">
        <v>94</v>
      </c>
      <c r="D15" s="28"/>
      <c r="E15" s="27" t="s">
        <v>107</v>
      </c>
      <c r="F15" s="28">
        <v>2</v>
      </c>
      <c r="G15" s="29" t="str">
        <f>IF(OR(D15="",F15=""),"chưa rõ",IF(F15&gt;D15,"FRACILE",IF(D15&gt;F15,"Vivoire","hoà")))</f>
        <v>chưa rõ</v>
      </c>
      <c r="H15" s="25" t="s">
        <v>56</v>
      </c>
      <c r="I15" s="30" t="s">
        <v>108</v>
      </c>
    </row>
    <row r="16" ht="44" customHeight="1" spans="1:9" x14ac:dyDescent="0.25">
      <c r="A16" s="19" t="s">
        <v>13</v>
      </c>
      <c r="B16" s="20" t="s">
        <v>109</v>
      </c>
      <c r="C16" s="21" t="s">
        <v>110</v>
      </c>
      <c r="D16" s="22">
        <v>2</v>
      </c>
      <c r="E16" s="21" t="s">
        <v>111</v>
      </c>
      <c r="F16" s="22">
        <v>1</v>
      </c>
      <c r="G16" s="23" t="str">
        <f>IF(OR(D16="",F16=""),"chưa rõ",IF(F16&gt;D16,"FRACILE",IF(D16&gt;F16,"Vivoire","hoà")))</f>
        <v>Vivoire</v>
      </c>
      <c r="H16" s="19" t="s">
        <v>112</v>
      </c>
      <c r="I16" s="24" t="s">
        <v>113</v>
      </c>
    </row>
    <row r="17" ht="44" customHeight="1" spans="1:9" x14ac:dyDescent="0.25">
      <c r="A17" s="19" t="s">
        <v>13</v>
      </c>
      <c r="B17" s="20" t="s">
        <v>114</v>
      </c>
      <c r="C17" s="21" t="s">
        <v>115</v>
      </c>
      <c r="D17" s="22">
        <v>2</v>
      </c>
      <c r="E17" s="21" t="s">
        <v>116</v>
      </c>
      <c r="F17" s="22">
        <v>1</v>
      </c>
      <c r="G17" s="23" t="str">
        <f>IF(OR(D17="",F17=""),"chưa rõ",IF(F17&gt;D17,"FRACILE",IF(D17&gt;F17,"Vivoire","hoà")))</f>
        <v>Vivoire</v>
      </c>
      <c r="H17" s="19" t="s">
        <v>56</v>
      </c>
      <c r="I17" s="24" t="s">
        <v>117</v>
      </c>
    </row>
    <row r="18" ht="44" customHeight="1" spans="1:9" x14ac:dyDescent="0.25">
      <c r="A18" s="25" t="s">
        <v>13</v>
      </c>
      <c r="B18" s="26" t="s">
        <v>118</v>
      </c>
      <c r="C18" s="27" t="s">
        <v>119</v>
      </c>
      <c r="D18" s="28"/>
      <c r="E18" s="27" t="s">
        <v>120</v>
      </c>
      <c r="F18" s="28">
        <v>2</v>
      </c>
      <c r="G18" s="29" t="str">
        <f>IF(OR(D18="",F18=""),"chưa rõ",IF(F18&gt;D18,"FRACILE",IF(D18&gt;F18,"Vivoire","hoà")))</f>
        <v>chưa rõ</v>
      </c>
      <c r="H18" s="25" t="s">
        <v>56</v>
      </c>
      <c r="I18" s="30" t="s">
        <v>121</v>
      </c>
    </row>
    <row r="19" ht="44" customHeight="1" spans="1:9" x14ac:dyDescent="0.25">
      <c r="A19" s="31" t="s">
        <v>13</v>
      </c>
      <c r="B19" s="32" t="s">
        <v>122</v>
      </c>
      <c r="C19" s="33" t="s">
        <v>123</v>
      </c>
      <c r="D19" s="34">
        <v>2</v>
      </c>
      <c r="E19" s="33" t="s">
        <v>124</v>
      </c>
      <c r="F19" s="34">
        <v>0</v>
      </c>
      <c r="G19" s="35" t="str">
        <f>IF(OR(D19="",F19=""),"chưa rõ",IF(F19&gt;D19,"FRACILE",IF(D19&gt;F19,"Vivoire","hoà")))</f>
        <v>Vivoire</v>
      </c>
      <c r="H19" s="31" t="s">
        <v>125</v>
      </c>
      <c r="I19" s="36" t="s">
        <v>126</v>
      </c>
    </row>
    <row r="20" ht="44" customHeight="1" spans="1:9" x14ac:dyDescent="0.25">
      <c r="A20" s="31" t="s">
        <v>13</v>
      </c>
      <c r="B20" s="32" t="s">
        <v>127</v>
      </c>
      <c r="C20" s="33" t="s">
        <v>101</v>
      </c>
      <c r="D20" s="34">
        <v>2</v>
      </c>
      <c r="E20" s="33" t="s">
        <v>124</v>
      </c>
      <c r="F20" s="34">
        <v>0</v>
      </c>
      <c r="G20" s="35" t="str">
        <f>IF(OR(D20="",F20=""),"chưa rõ",IF(F20&gt;D20,"FRACILE",IF(D20&gt;F20,"Vivoire","hoà")))</f>
        <v>Vivoire</v>
      </c>
      <c r="H20" s="31" t="s">
        <v>125</v>
      </c>
      <c r="I20" s="36" t="s">
        <v>128</v>
      </c>
    </row>
    <row r="21" ht="44" customHeight="1" spans="1:9" x14ac:dyDescent="0.25">
      <c r="A21" s="19" t="s">
        <v>13</v>
      </c>
      <c r="B21" s="20" t="s">
        <v>129</v>
      </c>
      <c r="C21" s="21" t="s">
        <v>130</v>
      </c>
      <c r="D21" s="22">
        <v>2</v>
      </c>
      <c r="E21" s="21" t="s">
        <v>131</v>
      </c>
      <c r="F21" s="22">
        <v>1</v>
      </c>
      <c r="G21" s="23" t="str">
        <f>IF(OR(D21="",F21=""),"chưa rõ",IF(F21&gt;D21,"FRACILE",IF(D21&gt;F21,"Vivoire","hoà")))</f>
        <v>Vivoire</v>
      </c>
      <c r="H21" s="19" t="s">
        <v>56</v>
      </c>
      <c r="I21" s="24" t="s">
        <v>132</v>
      </c>
    </row>
    <row r="22" ht="44" customHeight="1" spans="1:9" x14ac:dyDescent="0.25">
      <c r="A22" s="25" t="s">
        <v>13</v>
      </c>
      <c r="B22" s="26" t="s">
        <v>133</v>
      </c>
      <c r="C22" s="27" t="s">
        <v>94</v>
      </c>
      <c r="D22" s="28"/>
      <c r="E22" s="27" t="s">
        <v>134</v>
      </c>
      <c r="F22" s="28">
        <v>2</v>
      </c>
      <c r="G22" s="29" t="str">
        <f>IF(OR(D22="",F22=""),"chưa rõ",IF(F22&gt;D22,"FRACILE",IF(D22&gt;F22,"Vivoire","hoà")))</f>
        <v>chưa rõ</v>
      </c>
      <c r="H22" s="25" t="s">
        <v>56</v>
      </c>
      <c r="I22" s="30" t="s">
        <v>135</v>
      </c>
    </row>
    <row r="23" ht="44" customHeight="1" spans="1:9" x14ac:dyDescent="0.25">
      <c r="A23" s="19" t="s">
        <v>14</v>
      </c>
      <c r="B23" s="20" t="s">
        <v>136</v>
      </c>
      <c r="C23" s="21" t="s">
        <v>137</v>
      </c>
      <c r="D23" s="22">
        <v>2</v>
      </c>
      <c r="E23" s="21" t="s">
        <v>138</v>
      </c>
      <c r="F23" s="22">
        <v>2</v>
      </c>
      <c r="G23" s="23" t="str">
        <f>IF(OR(D23="",F23=""),"chưa rõ",IF(F23&gt;D23,"FRACILE",IF(D23&gt;F23,"Vivoire","hoà")))</f>
        <v>hoà</v>
      </c>
      <c r="H23" s="19" t="s">
        <v>139</v>
      </c>
      <c r="I23" s="24" t="s">
        <v>140</v>
      </c>
    </row>
    <row r="24" ht="44" customHeight="1" spans="1:9" x14ac:dyDescent="0.25">
      <c r="A24" s="19" t="s">
        <v>14</v>
      </c>
      <c r="B24" s="20" t="s">
        <v>141</v>
      </c>
      <c r="C24" s="21" t="s">
        <v>142</v>
      </c>
      <c r="D24" s="22"/>
      <c r="E24" s="21" t="s">
        <v>143</v>
      </c>
      <c r="F24" s="22">
        <v>1</v>
      </c>
      <c r="G24" s="23" t="str">
        <f>IF(OR(D24="",F24=""),"chưa rõ",IF(F24&gt;D24,"FRACILE",IF(D24&gt;F24,"Vivoire","hoà")))</f>
        <v>chưa rõ</v>
      </c>
      <c r="H24" s="19" t="s">
        <v>144</v>
      </c>
      <c r="I24" s="24" t="s">
        <v>145</v>
      </c>
    </row>
    <row r="25" ht="44" customHeight="1" spans="1:9" x14ac:dyDescent="0.25">
      <c r="A25" s="25" t="s">
        <v>14</v>
      </c>
      <c r="B25" s="26" t="s">
        <v>146</v>
      </c>
      <c r="C25" s="27" t="s">
        <v>94</v>
      </c>
      <c r="D25" s="28"/>
      <c r="E25" s="27" t="s">
        <v>147</v>
      </c>
      <c r="F25" s="28">
        <v>2</v>
      </c>
      <c r="G25" s="29" t="str">
        <f>IF(OR(D25="",F25=""),"chưa rõ",IF(F25&gt;D25,"FRACILE",IF(D25&gt;F25,"Vivoire","hoà")))</f>
        <v>chưa rõ</v>
      </c>
      <c r="H25" s="25" t="s">
        <v>56</v>
      </c>
      <c r="I25" s="30" t="s">
        <v>148</v>
      </c>
    </row>
    <row r="26" ht="44" customHeight="1" spans="1:9" x14ac:dyDescent="0.25">
      <c r="A26" s="19" t="s">
        <v>14</v>
      </c>
      <c r="B26" s="20" t="s">
        <v>149</v>
      </c>
      <c r="C26" s="21" t="s">
        <v>150</v>
      </c>
      <c r="D26" s="22">
        <v>2</v>
      </c>
      <c r="E26" s="21" t="s">
        <v>151</v>
      </c>
      <c r="F26" s="22">
        <v>2</v>
      </c>
      <c r="G26" s="23" t="str">
        <f>IF(OR(D26="",F26=""),"chưa rõ",IF(F26&gt;D26,"FRACILE",IF(D26&gt;F26,"Vivoire","hoà")))</f>
        <v>hoà</v>
      </c>
      <c r="H26" s="19" t="s">
        <v>56</v>
      </c>
      <c r="I26" s="24" t="s">
        <v>152</v>
      </c>
    </row>
    <row r="27" ht="44" customHeight="1" spans="1:9" x14ac:dyDescent="0.25">
      <c r="A27" s="31" t="s">
        <v>14</v>
      </c>
      <c r="B27" s="32" t="s">
        <v>153</v>
      </c>
      <c r="C27" s="33" t="s">
        <v>154</v>
      </c>
      <c r="D27" s="34">
        <v>2</v>
      </c>
      <c r="E27" s="33" t="s">
        <v>124</v>
      </c>
      <c r="F27" s="34">
        <v>0</v>
      </c>
      <c r="G27" s="35" t="str">
        <f>IF(OR(D27="",F27=""),"chưa rõ",IF(F27&gt;D27,"FRACILE",IF(D27&gt;F27,"Vivoire","hoà")))</f>
        <v>Vivoire</v>
      </c>
      <c r="H27" s="31" t="s">
        <v>125</v>
      </c>
      <c r="I27" s="36" t="s">
        <v>128</v>
      </c>
    </row>
    <row r="28" ht="44" customHeight="1" spans="1:9" x14ac:dyDescent="0.25">
      <c r="A28" s="19" t="s">
        <v>14</v>
      </c>
      <c r="B28" s="20" t="s">
        <v>155</v>
      </c>
      <c r="C28" s="21" t="s">
        <v>94</v>
      </c>
      <c r="D28" s="22"/>
      <c r="E28" s="21" t="s">
        <v>156</v>
      </c>
      <c r="F28" s="22">
        <v>1</v>
      </c>
      <c r="G28" s="23" t="str">
        <f>IF(OR(D28="",F28=""),"chưa rõ",IF(F28&gt;D28,"FRACILE",IF(D28&gt;F28,"Vivoire","hoà")))</f>
        <v>chưa rõ</v>
      </c>
      <c r="H28" s="19" t="s">
        <v>157</v>
      </c>
      <c r="I28" s="24" t="s">
        <v>158</v>
      </c>
    </row>
    <row r="29" ht="44" customHeight="1" spans="1:9" x14ac:dyDescent="0.25">
      <c r="A29" s="25" t="s">
        <v>15</v>
      </c>
      <c r="B29" s="26" t="s">
        <v>159</v>
      </c>
      <c r="C29" s="27" t="s">
        <v>94</v>
      </c>
      <c r="D29" s="28"/>
      <c r="E29" s="27" t="s">
        <v>160</v>
      </c>
      <c r="F29" s="28">
        <v>2</v>
      </c>
      <c r="G29" s="29" t="str">
        <f>IF(OR(D29="",F29=""),"chưa rõ",IF(F29&gt;D29,"FRACILE",IF(D29&gt;F29,"Vivoire","hoà")))</f>
        <v>chưa rõ</v>
      </c>
      <c r="H29" s="25" t="s">
        <v>161</v>
      </c>
      <c r="I29" s="30" t="s">
        <v>162</v>
      </c>
    </row>
    <row r="30" ht="44" customHeight="1" spans="1:9" x14ac:dyDescent="0.25">
      <c r="A30" s="25" t="s">
        <v>15</v>
      </c>
      <c r="B30" s="26" t="s">
        <v>163</v>
      </c>
      <c r="C30" s="27" t="s">
        <v>94</v>
      </c>
      <c r="D30" s="28"/>
      <c r="E30" s="27" t="s">
        <v>164</v>
      </c>
      <c r="F30" s="28">
        <v>2</v>
      </c>
      <c r="G30" s="29" t="str">
        <f>IF(OR(D30="",F30=""),"chưa rõ",IF(F30&gt;D30,"FRACILE",IF(D30&gt;F30,"Vivoire","hoà")))</f>
        <v>chưa rõ</v>
      </c>
      <c r="H30" s="25" t="s">
        <v>161</v>
      </c>
      <c r="I30" s="30" t="s">
        <v>165</v>
      </c>
    </row>
    <row r="31" ht="44" customHeight="1" spans="1:9" x14ac:dyDescent="0.25">
      <c r="A31" s="25" t="s">
        <v>15</v>
      </c>
      <c r="B31" s="26" t="s">
        <v>166</v>
      </c>
      <c r="C31" s="27" t="s">
        <v>94</v>
      </c>
      <c r="D31" s="28"/>
      <c r="E31" s="27" t="s">
        <v>167</v>
      </c>
      <c r="F31" s="28">
        <v>2</v>
      </c>
      <c r="G31" s="29" t="str">
        <f>IF(OR(D31="",F31=""),"chưa rõ",IF(F31&gt;D31,"FRACILE",IF(D31&gt;F31,"Vivoire","hoà")))</f>
        <v>chưa rõ</v>
      </c>
      <c r="H31" s="25" t="s">
        <v>161</v>
      </c>
      <c r="I31" s="30" t="s">
        <v>168</v>
      </c>
    </row>
    <row r="32" ht="44" customHeight="1" spans="1:9" x14ac:dyDescent="0.25">
      <c r="A32" s="25" t="s">
        <v>15</v>
      </c>
      <c r="B32" s="26" t="s">
        <v>169</v>
      </c>
      <c r="C32" s="27" t="s">
        <v>94</v>
      </c>
      <c r="D32" s="28"/>
      <c r="E32" s="27" t="s">
        <v>170</v>
      </c>
      <c r="F32" s="28">
        <v>2</v>
      </c>
      <c r="G32" s="29" t="str">
        <f>IF(OR(D32="",F32=""),"chưa rõ",IF(F32&gt;D32,"FRACILE",IF(D32&gt;F32,"Vivoire","hoà")))</f>
        <v>chưa rõ</v>
      </c>
      <c r="H32" s="25" t="s">
        <v>161</v>
      </c>
      <c r="I32" s="30" t="s">
        <v>171</v>
      </c>
    </row>
    <row r="33" ht="44" customHeight="1" spans="1:9" x14ac:dyDescent="0.25">
      <c r="A33" s="25" t="s">
        <v>15</v>
      </c>
      <c r="B33" s="26" t="s">
        <v>172</v>
      </c>
      <c r="C33" s="27" t="s">
        <v>94</v>
      </c>
      <c r="D33" s="28"/>
      <c r="E33" s="27" t="s">
        <v>173</v>
      </c>
      <c r="F33" s="28">
        <v>2</v>
      </c>
      <c r="G33" s="29" t="str">
        <f>IF(OR(D33="",F33=""),"chưa rõ",IF(F33&gt;D33,"FRACILE",IF(D33&gt;F33,"Vivoire","hoà")))</f>
        <v>chưa rõ</v>
      </c>
      <c r="H33" s="25" t="s">
        <v>161</v>
      </c>
      <c r="I33" s="30" t="s">
        <v>174</v>
      </c>
    </row>
    <row r="34" ht="44" customHeight="1" spans="1:9" x14ac:dyDescent="0.25">
      <c r="A34" s="19" t="s">
        <v>15</v>
      </c>
      <c r="B34" s="20" t="s">
        <v>175</v>
      </c>
      <c r="C34" s="21" t="s">
        <v>101</v>
      </c>
      <c r="D34" s="22">
        <v>2</v>
      </c>
      <c r="E34" s="21" t="s">
        <v>101</v>
      </c>
      <c r="F34" s="22">
        <v>2</v>
      </c>
      <c r="G34" s="23" t="str">
        <f>IF(OR(D34="",F34=""),"chưa rõ",IF(F34&gt;D34,"FRACILE",IF(D34&gt;F34,"Vivoire","hoà")))</f>
        <v>hoà</v>
      </c>
      <c r="H34" s="19" t="s">
        <v>161</v>
      </c>
      <c r="I34" s="24" t="s">
        <v>176</v>
      </c>
    </row>
    <row r="35" ht="44" customHeight="1" spans="1:9" x14ac:dyDescent="0.25">
      <c r="A35" s="31" t="s">
        <v>15</v>
      </c>
      <c r="B35" s="32" t="s">
        <v>177</v>
      </c>
      <c r="C35" s="33" t="s">
        <v>178</v>
      </c>
      <c r="D35" s="34">
        <v>2</v>
      </c>
      <c r="E35" s="33" t="s">
        <v>179</v>
      </c>
      <c r="F35" s="34">
        <v>0</v>
      </c>
      <c r="G35" s="35" t="str">
        <f>IF(OR(D35="",F35=""),"chưa rõ",IF(F35&gt;D35,"FRACILE",IF(D35&gt;F35,"Vivoire","hoà")))</f>
        <v>Vivoire</v>
      </c>
      <c r="H35" s="31" t="s">
        <v>79</v>
      </c>
      <c r="I35" s="36" t="s">
        <v>180</v>
      </c>
    </row>
    <row r="36" ht="44" customHeight="1" spans="1:9" x14ac:dyDescent="0.25">
      <c r="A36" s="19" t="s">
        <v>15</v>
      </c>
      <c r="B36" s="20" t="s">
        <v>181</v>
      </c>
      <c r="C36" s="21" t="s">
        <v>101</v>
      </c>
      <c r="D36" s="22">
        <v>2</v>
      </c>
      <c r="E36" s="21" t="s">
        <v>182</v>
      </c>
      <c r="F36" s="22">
        <v>2</v>
      </c>
      <c r="G36" s="23" t="str">
        <f>IF(OR(D36="",F36=""),"chưa rõ",IF(F36&gt;D36,"FRACILE",IF(D36&gt;F36,"Vivoire","hoà")))</f>
        <v>hoà</v>
      </c>
      <c r="H36" s="19" t="s">
        <v>161</v>
      </c>
      <c r="I36" s="24" t="s">
        <v>183</v>
      </c>
    </row>
    <row r="37" ht="44" customHeight="1" spans="1:9" x14ac:dyDescent="0.25">
      <c r="A37" s="31" t="s">
        <v>15</v>
      </c>
      <c r="B37" s="32" t="s">
        <v>184</v>
      </c>
      <c r="C37" s="33" t="s">
        <v>101</v>
      </c>
      <c r="D37" s="34">
        <v>2</v>
      </c>
      <c r="E37" s="33" t="s">
        <v>124</v>
      </c>
      <c r="F37" s="34">
        <v>0</v>
      </c>
      <c r="G37" s="35" t="str">
        <f>IF(OR(D37="",F37=""),"chưa rõ",IF(F37&gt;D37,"FRACILE",IF(D37&gt;F37,"Vivoire","hoà")))</f>
        <v>Vivoire</v>
      </c>
      <c r="H37" s="31" t="s">
        <v>125</v>
      </c>
      <c r="I37" s="36" t="s">
        <v>128</v>
      </c>
    </row>
    <row r="38" ht="44" customHeight="1" spans="1:9" x14ac:dyDescent="0.25">
      <c r="A38" s="19" t="s">
        <v>15</v>
      </c>
      <c r="B38" s="20" t="s">
        <v>185</v>
      </c>
      <c r="C38" s="21" t="s">
        <v>186</v>
      </c>
      <c r="D38" s="22">
        <v>2</v>
      </c>
      <c r="E38" s="21" t="s">
        <v>187</v>
      </c>
      <c r="F38" s="22">
        <v>1</v>
      </c>
      <c r="G38" s="23" t="str">
        <f>IF(OR(D38="",F38=""),"chưa rõ",IF(F38&gt;D38,"FRACILE",IF(D38&gt;F38,"Vivoire","hoà")))</f>
        <v>Vivoire</v>
      </c>
      <c r="H38" s="19" t="s">
        <v>188</v>
      </c>
      <c r="I38" s="24" t="s">
        <v>189</v>
      </c>
    </row>
    <row r="39" ht="44" customHeight="1" spans="1:9" x14ac:dyDescent="0.25">
      <c r="A39" s="19" t="s">
        <v>15</v>
      </c>
      <c r="B39" s="20" t="s">
        <v>190</v>
      </c>
      <c r="C39" s="21" t="s">
        <v>119</v>
      </c>
      <c r="D39" s="22"/>
      <c r="E39" s="21" t="s">
        <v>191</v>
      </c>
      <c r="F39" s="22">
        <v>1</v>
      </c>
      <c r="G39" s="23" t="str">
        <f>IF(OR(D39="",F39=""),"chưa rõ",IF(F39&gt;D39,"FRACILE",IF(D39&gt;F39,"Vivoire","hoà")))</f>
        <v>chưa rõ</v>
      </c>
      <c r="H39" s="19" t="s">
        <v>56</v>
      </c>
      <c r="I39" s="24" t="s">
        <v>192</v>
      </c>
    </row>
    <row r="40" ht="44" customHeight="1" spans="1:9" x14ac:dyDescent="0.25">
      <c r="A40" s="19" t="s">
        <v>16</v>
      </c>
      <c r="B40" s="20" t="s">
        <v>193</v>
      </c>
      <c r="C40" s="21" t="s">
        <v>101</v>
      </c>
      <c r="D40" s="22">
        <v>2</v>
      </c>
      <c r="E40" s="21" t="s">
        <v>101</v>
      </c>
      <c r="F40" s="22">
        <v>2</v>
      </c>
      <c r="G40" s="23" t="str">
        <f>IF(OR(D40="",F40=""),"chưa rõ",IF(F40&gt;D40,"FRACILE",IF(D40&gt;F40,"Vivoire","hoà")))</f>
        <v>hoà</v>
      </c>
      <c r="H40" s="19" t="s">
        <v>56</v>
      </c>
      <c r="I40" s="24" t="s">
        <v>194</v>
      </c>
    </row>
    <row r="41" ht="44" customHeight="1" spans="1:9" x14ac:dyDescent="0.25">
      <c r="A41" s="31" t="s">
        <v>16</v>
      </c>
      <c r="B41" s="32" t="s">
        <v>195</v>
      </c>
      <c r="C41" s="33" t="s">
        <v>196</v>
      </c>
      <c r="D41" s="34">
        <v>2</v>
      </c>
      <c r="E41" s="33" t="s">
        <v>124</v>
      </c>
      <c r="F41" s="34">
        <v>0</v>
      </c>
      <c r="G41" s="35" t="str">
        <f>IF(OR(D41="",F41=""),"chưa rõ",IF(F41&gt;D41,"FRACILE",IF(D41&gt;F41,"Vivoire","hoà")))</f>
        <v>Vivoire</v>
      </c>
      <c r="H41" s="31" t="s">
        <v>125</v>
      </c>
      <c r="I41" s="36" t="s">
        <v>128</v>
      </c>
    </row>
    <row r="42" ht="44" customHeight="1" spans="1:9" x14ac:dyDescent="0.25">
      <c r="A42" s="31" t="s">
        <v>16</v>
      </c>
      <c r="B42" s="32" t="s">
        <v>197</v>
      </c>
      <c r="C42" s="33" t="s">
        <v>198</v>
      </c>
      <c r="D42" s="34">
        <v>2</v>
      </c>
      <c r="E42" s="33" t="s">
        <v>124</v>
      </c>
      <c r="F42" s="34">
        <v>0</v>
      </c>
      <c r="G42" s="35" t="str">
        <f>IF(OR(D42="",F42=""),"chưa rõ",IF(F42&gt;D42,"FRACILE",IF(D42&gt;F42,"Vivoire","hoà")))</f>
        <v>Vivoire</v>
      </c>
      <c r="H42" s="31" t="s">
        <v>125</v>
      </c>
      <c r="I42" s="36" t="s">
        <v>128</v>
      </c>
    </row>
    <row r="43" ht="44" customHeight="1" spans="1:9" x14ac:dyDescent="0.25">
      <c r="A43" s="19" t="s">
        <v>16</v>
      </c>
      <c r="B43" s="20" t="s">
        <v>199</v>
      </c>
      <c r="C43" s="21" t="s">
        <v>101</v>
      </c>
      <c r="D43" s="22">
        <v>2</v>
      </c>
      <c r="E43" s="21" t="s">
        <v>200</v>
      </c>
      <c r="F43" s="22">
        <v>1</v>
      </c>
      <c r="G43" s="23" t="str">
        <f>IF(OR(D43="",F43=""),"chưa rõ",IF(F43&gt;D43,"FRACILE",IF(D43&gt;F43,"Vivoire","hoà")))</f>
        <v>Vivoire</v>
      </c>
      <c r="H43" s="19" t="s">
        <v>56</v>
      </c>
      <c r="I43" s="24" t="s">
        <v>128</v>
      </c>
    </row>
    <row r="44" ht="44" customHeight="1" spans="1:9" x14ac:dyDescent="0.25">
      <c r="A44" s="25" t="s">
        <v>16</v>
      </c>
      <c r="B44" s="26" t="s">
        <v>201</v>
      </c>
      <c r="C44" s="27" t="s">
        <v>202</v>
      </c>
      <c r="D44" s="28">
        <v>1</v>
      </c>
      <c r="E44" s="27" t="s">
        <v>203</v>
      </c>
      <c r="F44" s="28">
        <v>2</v>
      </c>
      <c r="G44" s="29" t="str">
        <f>IF(OR(D44="",F44=""),"chưa rõ",IF(F44&gt;D44,"FRACILE",IF(D44&gt;F44,"Vivoire","hoà")))</f>
        <v>FRACILE</v>
      </c>
      <c r="H44" s="25" t="s">
        <v>56</v>
      </c>
      <c r="I44" s="30" t="s">
        <v>204</v>
      </c>
    </row>
    <row r="45" ht="44" customHeight="1" spans="1:9" x14ac:dyDescent="0.25">
      <c r="A45" s="25" t="s">
        <v>16</v>
      </c>
      <c r="B45" s="26" t="s">
        <v>205</v>
      </c>
      <c r="C45" s="27" t="s">
        <v>82</v>
      </c>
      <c r="D45" s="28"/>
      <c r="E45" s="27" t="s">
        <v>206</v>
      </c>
      <c r="F45" s="28">
        <v>2</v>
      </c>
      <c r="G45" s="29" t="str">
        <f>IF(OR(D45="",F45=""),"chưa rõ",IF(F45&gt;D45,"FRACILE",IF(D45&gt;F45,"Vivoire","hoà")))</f>
        <v>chưa rõ</v>
      </c>
      <c r="H45" s="25" t="s">
        <v>56</v>
      </c>
      <c r="I45" s="30" t="s">
        <v>207</v>
      </c>
    </row>
    <row r="46" ht="44" customHeight="1" spans="1:9" x14ac:dyDescent="0.25">
      <c r="A46" s="19" t="s">
        <v>17</v>
      </c>
      <c r="B46" s="20" t="s">
        <v>208</v>
      </c>
      <c r="C46" s="21" t="s">
        <v>101</v>
      </c>
      <c r="D46" s="22">
        <v>2</v>
      </c>
      <c r="E46" s="21" t="s">
        <v>209</v>
      </c>
      <c r="F46" s="22">
        <v>1</v>
      </c>
      <c r="G46" s="23" t="str">
        <f>IF(OR(D46="",F46=""),"chưa rõ",IF(F46&gt;D46,"FRACILE",IF(D46&gt;F46,"Vivoire","hoà")))</f>
        <v>Vivoire</v>
      </c>
      <c r="H46" s="19" t="s">
        <v>210</v>
      </c>
      <c r="I46" s="24" t="s">
        <v>211</v>
      </c>
    </row>
    <row r="47" ht="44" customHeight="1" spans="1:9" x14ac:dyDescent="0.25">
      <c r="A47" s="19" t="s">
        <v>17</v>
      </c>
      <c r="B47" s="20" t="s">
        <v>212</v>
      </c>
      <c r="C47" s="21" t="s">
        <v>101</v>
      </c>
      <c r="D47" s="22">
        <v>2</v>
      </c>
      <c r="E47" s="21" t="s">
        <v>213</v>
      </c>
      <c r="F47" s="22">
        <v>1</v>
      </c>
      <c r="G47" s="23" t="str">
        <f>IF(OR(D47="",F47=""),"chưa rõ",IF(F47&gt;D47,"FRACILE",IF(D47&gt;F47,"Vivoire","hoà")))</f>
        <v>Vivoire</v>
      </c>
      <c r="H47" s="19" t="s">
        <v>214</v>
      </c>
      <c r="I47" s="24" t="s">
        <v>215</v>
      </c>
    </row>
    <row r="48" ht="44" customHeight="1" spans="1:9" x14ac:dyDescent="0.25">
      <c r="A48" s="31" t="s">
        <v>17</v>
      </c>
      <c r="B48" s="32" t="s">
        <v>37</v>
      </c>
      <c r="C48" s="33" t="s">
        <v>101</v>
      </c>
      <c r="D48" s="34">
        <v>2</v>
      </c>
      <c r="E48" s="33" t="s">
        <v>216</v>
      </c>
      <c r="F48" s="34">
        <v>0</v>
      </c>
      <c r="G48" s="35" t="str">
        <f>IF(OR(D48="",F48=""),"chưa rõ",IF(F48&gt;D48,"FRACILE",IF(D48&gt;F48,"Vivoire","hoà")))</f>
        <v>Vivoire</v>
      </c>
      <c r="H48" s="31" t="s">
        <v>217</v>
      </c>
      <c r="I48" s="36" t="s">
        <v>218</v>
      </c>
    </row>
    <row r="49" ht="44" customHeight="1" spans="1:9" x14ac:dyDescent="0.25">
      <c r="A49" s="19" t="s">
        <v>17</v>
      </c>
      <c r="B49" s="20" t="s">
        <v>219</v>
      </c>
      <c r="C49" s="21" t="s">
        <v>220</v>
      </c>
      <c r="D49" s="22">
        <v>2</v>
      </c>
      <c r="E49" s="21" t="s">
        <v>221</v>
      </c>
      <c r="F49" s="22">
        <v>1</v>
      </c>
      <c r="G49" s="23" t="str">
        <f>IF(OR(D49="",F49=""),"chưa rõ",IF(F49&gt;D49,"FRACILE",IF(D49&gt;F49,"Vivoire","hoà")))</f>
        <v>Vivoire</v>
      </c>
      <c r="H49" s="19" t="s">
        <v>56</v>
      </c>
      <c r="I49" s="24" t="s">
        <v>222</v>
      </c>
    </row>
    <row r="50" ht="44" customHeight="1" spans="1:9" x14ac:dyDescent="0.25">
      <c r="A50" s="25" t="s">
        <v>17</v>
      </c>
      <c r="B50" s="26" t="s">
        <v>223</v>
      </c>
      <c r="C50" s="27" t="s">
        <v>224</v>
      </c>
      <c r="D50" s="28">
        <v>1</v>
      </c>
      <c r="E50" s="27" t="s">
        <v>225</v>
      </c>
      <c r="F50" s="28">
        <v>2</v>
      </c>
      <c r="G50" s="29" t="str">
        <f>IF(OR(D50="",F50=""),"chưa rõ",IF(F50&gt;D50,"FRACILE",IF(D50&gt;F50,"Vivoire","hoà")))</f>
        <v>FRACILE</v>
      </c>
      <c r="H50" s="25" t="s">
        <v>56</v>
      </c>
      <c r="I50" s="30" t="s">
        <v>226</v>
      </c>
    </row>
    <row r="51" ht="44" customHeight="1" spans="1:9" x14ac:dyDescent="0.25">
      <c r="A51" s="25" t="s">
        <v>17</v>
      </c>
      <c r="B51" s="26" t="s">
        <v>227</v>
      </c>
      <c r="C51" s="27" t="s">
        <v>94</v>
      </c>
      <c r="D51" s="28"/>
      <c r="E51" s="27" t="s">
        <v>228</v>
      </c>
      <c r="F51" s="28">
        <v>2</v>
      </c>
      <c r="G51" s="29" t="str">
        <f>IF(OR(D51="",F51=""),"chưa rõ",IF(F51&gt;D51,"FRACILE",IF(D51&gt;F51,"Vivoire","hoà")))</f>
        <v>chưa rõ</v>
      </c>
      <c r="H51" s="25" t="s">
        <v>56</v>
      </c>
      <c r="I51" s="30" t="s">
        <v>229</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6"/>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230</v>
      </c>
    </row>
    <row r="2" spans="1:5" x14ac:dyDescent="0.25">
      <c r="A2" s="12" t="s">
        <v>231</v>
      </c>
      <c r="B2" s="12"/>
      <c r="C2" s="12"/>
      <c r="D2" s="12"/>
      <c r="E2" s="12"/>
    </row>
    <row r="3" spans="1:5" x14ac:dyDescent="0.25">
      <c r="A3" s="12"/>
      <c r="B3" s="12"/>
      <c r="C3" s="12"/>
      <c r="D3" s="12"/>
      <c r="E3" s="12"/>
    </row>
    <row r="5" ht="34" customHeight="1" spans="1:5" x14ac:dyDescent="0.25">
      <c r="A5" s="3" t="s">
        <v>232</v>
      </c>
      <c r="B5" s="3" t="s">
        <v>233</v>
      </c>
      <c r="C5" s="3" t="s">
        <v>234</v>
      </c>
      <c r="D5" s="3" t="s">
        <v>235</v>
      </c>
      <c r="E5" s="3" t="s">
        <v>236</v>
      </c>
    </row>
    <row r="6" ht="42" customHeight="1" spans="1:5" x14ac:dyDescent="0.25">
      <c r="A6" s="21" t="s">
        <v>237</v>
      </c>
      <c r="B6" s="21" t="s">
        <v>238</v>
      </c>
      <c r="C6" s="19" t="s">
        <v>239</v>
      </c>
      <c r="D6" s="21" t="s">
        <v>56</v>
      </c>
      <c r="E6" s="21" t="s">
        <v>240</v>
      </c>
    </row>
    <row r="7" ht="42" customHeight="1" spans="1:5" x14ac:dyDescent="0.25">
      <c r="A7" s="21" t="s">
        <v>241</v>
      </c>
      <c r="B7" s="21" t="s">
        <v>242</v>
      </c>
      <c r="C7" s="19" t="s">
        <v>239</v>
      </c>
      <c r="D7" s="21" t="s">
        <v>56</v>
      </c>
      <c r="E7" s="21" t="s">
        <v>243</v>
      </c>
    </row>
    <row r="8" ht="42" customHeight="1" spans="1:5" x14ac:dyDescent="0.25">
      <c r="A8" s="21" t="s">
        <v>244</v>
      </c>
      <c r="B8" s="21" t="s">
        <v>245</v>
      </c>
      <c r="C8" s="19" t="s">
        <v>239</v>
      </c>
      <c r="D8" s="21" t="s">
        <v>56</v>
      </c>
      <c r="E8" s="21" t="s">
        <v>246</v>
      </c>
    </row>
    <row r="9" ht="42" customHeight="1" spans="1:5" x14ac:dyDescent="0.25">
      <c r="A9" s="21" t="s">
        <v>166</v>
      </c>
      <c r="B9" s="21" t="s">
        <v>247</v>
      </c>
      <c r="C9" s="19" t="s">
        <v>239</v>
      </c>
      <c r="D9" s="21" t="s">
        <v>56</v>
      </c>
      <c r="E9" s="21" t="s">
        <v>248</v>
      </c>
    </row>
    <row r="10" ht="42" customHeight="1" spans="1:5" x14ac:dyDescent="0.25">
      <c r="A10" s="21" t="s">
        <v>249</v>
      </c>
      <c r="B10" s="21" t="s">
        <v>250</v>
      </c>
      <c r="C10" s="19" t="s">
        <v>239</v>
      </c>
      <c r="D10" s="21" t="s">
        <v>56</v>
      </c>
      <c r="E10" s="21" t="s">
        <v>251</v>
      </c>
    </row>
    <row r="11" ht="42" customHeight="1" spans="1:5" x14ac:dyDescent="0.25">
      <c r="A11" s="21" t="s">
        <v>252</v>
      </c>
      <c r="B11" s="21" t="s">
        <v>253</v>
      </c>
      <c r="C11" s="19" t="s">
        <v>239</v>
      </c>
      <c r="D11" s="21" t="s">
        <v>56</v>
      </c>
      <c r="E11" s="21" t="s">
        <v>254</v>
      </c>
    </row>
    <row r="12" ht="42" customHeight="1" spans="1:5" x14ac:dyDescent="0.25">
      <c r="A12" s="21" t="s">
        <v>255</v>
      </c>
      <c r="B12" s="21" t="s">
        <v>256</v>
      </c>
      <c r="C12" s="19" t="s">
        <v>239</v>
      </c>
      <c r="D12" s="21" t="s">
        <v>257</v>
      </c>
      <c r="E12" s="21" t="s">
        <v>258</v>
      </c>
    </row>
    <row r="13" ht="42" customHeight="1" spans="1:5" x14ac:dyDescent="0.25">
      <c r="A13" s="21" t="s">
        <v>259</v>
      </c>
      <c r="B13" s="21" t="s">
        <v>260</v>
      </c>
      <c r="C13" s="19" t="s">
        <v>239</v>
      </c>
      <c r="D13" s="21" t="s">
        <v>56</v>
      </c>
      <c r="E13" s="21" t="s">
        <v>128</v>
      </c>
    </row>
    <row r="14" ht="42" customHeight="1" spans="1:5" x14ac:dyDescent="0.25">
      <c r="A14" s="21" t="s">
        <v>172</v>
      </c>
      <c r="B14" s="21" t="s">
        <v>261</v>
      </c>
      <c r="C14" s="19" t="s">
        <v>239</v>
      </c>
      <c r="D14" s="21" t="s">
        <v>262</v>
      </c>
      <c r="E14" s="21" t="s">
        <v>263</v>
      </c>
    </row>
    <row r="15" ht="42" customHeight="1" spans="1:5" x14ac:dyDescent="0.25">
      <c r="A15" s="21" t="s">
        <v>264</v>
      </c>
      <c r="B15" s="21" t="s">
        <v>265</v>
      </c>
      <c r="C15" s="19" t="s">
        <v>239</v>
      </c>
      <c r="D15" s="21" t="s">
        <v>266</v>
      </c>
      <c r="E15" s="21" t="s">
        <v>267</v>
      </c>
    </row>
    <row r="16" ht="42" customHeight="1" spans="1:5" x14ac:dyDescent="0.25">
      <c r="A16" s="38" t="s">
        <v>268</v>
      </c>
      <c r="B16" s="38" t="s">
        <v>269</v>
      </c>
      <c r="C16" s="39" t="s">
        <v>270</v>
      </c>
      <c r="D16" s="38" t="s">
        <v>56</v>
      </c>
      <c r="E16" s="38" t="s">
        <v>271</v>
      </c>
    </row>
    <row r="17" ht="42" customHeight="1" spans="1:5" x14ac:dyDescent="0.25">
      <c r="A17" s="27" t="s">
        <v>272</v>
      </c>
      <c r="B17" s="27" t="s">
        <v>273</v>
      </c>
      <c r="C17" s="25" t="s">
        <v>274</v>
      </c>
      <c r="D17" s="27" t="s">
        <v>275</v>
      </c>
      <c r="E17" s="27" t="s">
        <v>276</v>
      </c>
    </row>
    <row r="18" ht="42" customHeight="1" spans="1:5" x14ac:dyDescent="0.25">
      <c r="A18" s="27" t="s">
        <v>277</v>
      </c>
      <c r="B18" s="27" t="s">
        <v>278</v>
      </c>
      <c r="C18" s="25" t="s">
        <v>274</v>
      </c>
      <c r="D18" s="27" t="s">
        <v>275</v>
      </c>
      <c r="E18" s="27" t="s">
        <v>279</v>
      </c>
    </row>
    <row r="19" ht="42" customHeight="1" spans="1:5" x14ac:dyDescent="0.25">
      <c r="A19" s="27" t="s">
        <v>280</v>
      </c>
      <c r="B19" s="27" t="s">
        <v>278</v>
      </c>
      <c r="C19" s="25" t="s">
        <v>281</v>
      </c>
      <c r="D19" s="27" t="s">
        <v>56</v>
      </c>
      <c r="E19" s="27" t="s">
        <v>282</v>
      </c>
    </row>
    <row r="22" spans="1:1" x14ac:dyDescent="0.25">
      <c r="A22" s="40" t="s">
        <v>283</v>
      </c>
    </row>
    <row r="23" ht="30" customHeight="1" spans="1:5" x14ac:dyDescent="0.25">
      <c r="A23" s="18" t="s">
        <v>284</v>
      </c>
      <c r="B23" s="18"/>
      <c r="C23" s="18"/>
      <c r="D23" s="18"/>
      <c r="E23" s="18"/>
    </row>
    <row r="24" spans="1:5" x14ac:dyDescent="0.25">
      <c r="A24" s="18"/>
      <c r="B24" s="18"/>
      <c r="C24" s="18"/>
      <c r="D24" s="18"/>
      <c r="E24" s="18"/>
    </row>
    <row r="25" spans="1:5" x14ac:dyDescent="0.25">
      <c r="A25" s="18"/>
      <c r="B25" s="18"/>
      <c r="C25" s="18"/>
      <c r="D25" s="18"/>
      <c r="E25" s="18"/>
    </row>
    <row r="26" spans="1:5" x14ac:dyDescent="0.25">
      <c r="A26" s="18"/>
      <c r="B26" s="18"/>
      <c r="C26" s="18"/>
      <c r="D26" s="18"/>
      <c r="E26" s="18"/>
    </row>
  </sheetData>
  <mergeCells count="2">
    <mergeCell ref="A2:E3"/>
    <mergeCell ref="A23:E26"/>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285</v>
      </c>
    </row>
    <row r="3" ht="34" customHeight="1" spans="1:4" x14ac:dyDescent="0.25">
      <c r="A3" s="3" t="s">
        <v>286</v>
      </c>
      <c r="B3" s="3" t="s">
        <v>287</v>
      </c>
      <c r="C3" s="3" t="s">
        <v>288</v>
      </c>
      <c r="D3" s="3" t="s">
        <v>289</v>
      </c>
    </row>
    <row r="4" spans="1:4" x14ac:dyDescent="0.25">
      <c r="A4" s="41" t="s">
        <v>290</v>
      </c>
      <c r="B4" s="42">
        <v>33</v>
      </c>
      <c r="C4" s="43" t="s">
        <v>291</v>
      </c>
      <c r="D4" s="44" t="s">
        <v>292</v>
      </c>
    </row>
    <row r="5" spans="1:4" x14ac:dyDescent="0.25">
      <c r="A5" s="41" t="s">
        <v>293</v>
      </c>
      <c r="B5" s="42">
        <v>372</v>
      </c>
      <c r="C5" s="43" t="s">
        <v>294</v>
      </c>
      <c r="D5" s="44" t="s">
        <v>292</v>
      </c>
    </row>
    <row r="6" spans="1:4" x14ac:dyDescent="0.25">
      <c r="A6" s="41" t="s">
        <v>295</v>
      </c>
      <c r="B6" s="42">
        <v>207</v>
      </c>
      <c r="C6" s="43" t="s">
        <v>296</v>
      </c>
      <c r="D6" s="44" t="s">
        <v>292</v>
      </c>
    </row>
    <row r="7" spans="1:4" x14ac:dyDescent="0.25">
      <c r="A7" s="41" t="s">
        <v>297</v>
      </c>
      <c r="B7" s="42">
        <v>7</v>
      </c>
      <c r="C7" s="43" t="s">
        <v>298</v>
      </c>
      <c r="D7" s="44" t="s">
        <v>292</v>
      </c>
    </row>
    <row r="8" spans="1:4" x14ac:dyDescent="0.25">
      <c r="A8" s="41" t="s">
        <v>299</v>
      </c>
      <c r="B8" s="42">
        <v>2</v>
      </c>
      <c r="C8" s="43" t="s">
        <v>300</v>
      </c>
      <c r="D8" s="44" t="s">
        <v>292</v>
      </c>
    </row>
    <row r="9" spans="1:4" x14ac:dyDescent="0.25">
      <c r="A9" s="41" t="s">
        <v>301</v>
      </c>
      <c r="B9" s="42">
        <v>4</v>
      </c>
      <c r="C9" s="43" t="s">
        <v>302</v>
      </c>
      <c r="D9" s="44" t="s">
        <v>303</v>
      </c>
    </row>
    <row r="10" spans="1:4" x14ac:dyDescent="0.25">
      <c r="A10" s="41" t="s">
        <v>304</v>
      </c>
      <c r="B10" s="42">
        <v>35</v>
      </c>
      <c r="C10" s="43" t="s">
        <v>305</v>
      </c>
      <c r="D10" s="44" t="s">
        <v>292</v>
      </c>
    </row>
    <row r="11" spans="1:4" x14ac:dyDescent="0.25">
      <c r="A11" s="41" t="s">
        <v>306</v>
      </c>
      <c r="B11" s="42">
        <v>37</v>
      </c>
      <c r="C11" s="43" t="s">
        <v>307</v>
      </c>
      <c r="D11" s="44" t="s">
        <v>292</v>
      </c>
    </row>
    <row r="12" spans="1:4" x14ac:dyDescent="0.25">
      <c r="A12" s="41" t="s">
        <v>308</v>
      </c>
      <c r="B12" s="42">
        <v>177</v>
      </c>
      <c r="C12" s="43" t="s">
        <v>309</v>
      </c>
      <c r="D12" s="44" t="s">
        <v>292</v>
      </c>
    </row>
    <row r="13" spans="1:4" x14ac:dyDescent="0.25">
      <c r="A13" s="41" t="s">
        <v>310</v>
      </c>
      <c r="B13" s="42">
        <v>9</v>
      </c>
      <c r="C13" s="43" t="s">
        <v>311</v>
      </c>
      <c r="D13" s="44" t="s">
        <v>292</v>
      </c>
    </row>
    <row r="14" spans="1:4" x14ac:dyDescent="0.25">
      <c r="A14" s="41" t="s">
        <v>312</v>
      </c>
      <c r="B14" s="42">
        <v>8</v>
      </c>
      <c r="C14" s="43" t="s">
        <v>313</v>
      </c>
      <c r="D14" s="44" t="s">
        <v>292</v>
      </c>
    </row>
    <row r="15" spans="1:4" x14ac:dyDescent="0.25">
      <c r="A15" s="41" t="s">
        <v>314</v>
      </c>
      <c r="B15" s="42">
        <v>2</v>
      </c>
      <c r="C15" s="43" t="s">
        <v>315</v>
      </c>
      <c r="D15" s="44" t="s">
        <v>303</v>
      </c>
    </row>
    <row r="16" spans="1:4" x14ac:dyDescent="0.25">
      <c r="A16" s="41" t="s">
        <v>316</v>
      </c>
      <c r="B16" s="42">
        <v>0</v>
      </c>
      <c r="C16" s="43" t="s">
        <v>317</v>
      </c>
      <c r="D16" s="44" t="s">
        <v>292</v>
      </c>
    </row>
    <row r="18" spans="1:3" x14ac:dyDescent="0.25">
      <c r="A18" s="13" t="s">
        <v>318</v>
      </c>
      <c r="B18" s="45">
        <f>B6/B5</f>
        <v>0.5564516129032258</v>
      </c>
      <c r="C18" s="46" t="s">
        <v>319</v>
      </c>
    </row>
    <row r="19" spans="1:3" x14ac:dyDescent="0.25">
      <c r="A19" s="13" t="s">
        <v>320</v>
      </c>
      <c r="B19" s="47">
        <f>B5-B6</f>
        <v>165</v>
      </c>
      <c r="C19" s="46" t="s">
        <v>321</v>
      </c>
    </row>
    <row r="22" spans="1:1" x14ac:dyDescent="0.25">
      <c r="A22" s="40" t="s">
        <v>322</v>
      </c>
    </row>
    <row r="23" ht="34" customHeight="1" spans="1:4" x14ac:dyDescent="0.25">
      <c r="A23" s="3" t="s">
        <v>286</v>
      </c>
      <c r="B23" s="3" t="s">
        <v>287</v>
      </c>
      <c r="C23" s="3" t="s">
        <v>323</v>
      </c>
      <c r="D23" s="3" t="s">
        <v>324</v>
      </c>
    </row>
    <row r="24" spans="1:4" x14ac:dyDescent="0.25">
      <c r="A24" s="19" t="s">
        <v>122</v>
      </c>
      <c r="B24" s="21" t="s">
        <v>325</v>
      </c>
      <c r="C24" s="21" t="s">
        <v>326</v>
      </c>
      <c r="D24" s="21" t="s">
        <v>327</v>
      </c>
    </row>
    <row r="25" spans="1:4" x14ac:dyDescent="0.25">
      <c r="A25" s="19" t="s">
        <v>328</v>
      </c>
      <c r="B25" s="21" t="s">
        <v>329</v>
      </c>
      <c r="C25" s="21" t="s">
        <v>330</v>
      </c>
      <c r="D25" s="21" t="s">
        <v>327</v>
      </c>
    </row>
    <row r="26" spans="1:4" x14ac:dyDescent="0.25">
      <c r="A26" s="19" t="s">
        <v>331</v>
      </c>
      <c r="B26" s="21" t="s">
        <v>329</v>
      </c>
      <c r="C26" s="21" t="s">
        <v>330</v>
      </c>
      <c r="D26" s="21" t="s">
        <v>327</v>
      </c>
    </row>
    <row r="27" spans="1:4" x14ac:dyDescent="0.25">
      <c r="A27" s="19" t="s">
        <v>332</v>
      </c>
      <c r="B27" s="21" t="s">
        <v>333</v>
      </c>
      <c r="C27" s="21" t="s">
        <v>330</v>
      </c>
      <c r="D27" s="21" t="s">
        <v>327</v>
      </c>
    </row>
    <row r="28" spans="1:4" x14ac:dyDescent="0.25">
      <c r="A28" s="39" t="s">
        <v>334</v>
      </c>
      <c r="B28" s="38" t="s">
        <v>335</v>
      </c>
      <c r="C28" s="38" t="s">
        <v>336</v>
      </c>
      <c r="D28" s="38" t="s">
        <v>337</v>
      </c>
    </row>
    <row r="29" spans="1:4" x14ac:dyDescent="0.25">
      <c r="A29" s="39" t="s">
        <v>338</v>
      </c>
      <c r="B29" s="38" t="s">
        <v>339</v>
      </c>
      <c r="C29" s="38" t="s">
        <v>340</v>
      </c>
      <c r="D29" s="38" t="s">
        <v>337</v>
      </c>
    </row>
    <row r="30" spans="1:4" x14ac:dyDescent="0.25">
      <c r="A30" s="19" t="s">
        <v>341</v>
      </c>
      <c r="B30" s="21" t="s">
        <v>342</v>
      </c>
      <c r="C30" s="21" t="s">
        <v>343</v>
      </c>
      <c r="D30" s="21" t="s">
        <v>344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345</v>
      </c>
    </row>
    <row r="3" ht="34" customHeight="1" spans="1:5" x14ac:dyDescent="0.25">
      <c r="A3" s="3" t="s">
        <v>346</v>
      </c>
      <c r="B3" s="3" t="s">
        <v>347</v>
      </c>
      <c r="C3" s="3" t="s">
        <v>348</v>
      </c>
      <c r="D3" s="3" t="s">
        <v>349</v>
      </c>
      <c r="E3" s="3" t="s">
        <v>350</v>
      </c>
    </row>
    <row r="4" ht="62" customHeight="1" spans="1:5" x14ac:dyDescent="0.25">
      <c r="A4" s="22">
        <v>1</v>
      </c>
      <c r="B4" s="19" t="s">
        <v>351</v>
      </c>
      <c r="C4" s="21" t="s">
        <v>352</v>
      </c>
      <c r="D4" s="21" t="s">
        <v>353</v>
      </c>
      <c r="E4" s="21" t="s">
        <v>354</v>
      </c>
    </row>
    <row r="5" ht="62" customHeight="1" spans="1:5" x14ac:dyDescent="0.25">
      <c r="A5" s="22">
        <v>2</v>
      </c>
      <c r="B5" s="19" t="s">
        <v>355</v>
      </c>
      <c r="C5" s="21" t="s">
        <v>356</v>
      </c>
      <c r="D5" s="21" t="s">
        <v>357</v>
      </c>
      <c r="E5" s="21" t="s">
        <v>358</v>
      </c>
    </row>
    <row r="6" ht="62" customHeight="1" spans="1:5" x14ac:dyDescent="0.25">
      <c r="A6" s="22">
        <v>3</v>
      </c>
      <c r="B6" s="19" t="s">
        <v>359</v>
      </c>
      <c r="C6" s="21" t="s">
        <v>360</v>
      </c>
      <c r="D6" s="21" t="s">
        <v>361</v>
      </c>
      <c r="E6" s="21" t="s">
        <v>358</v>
      </c>
    </row>
    <row r="7" ht="62" customHeight="1" spans="1:5" x14ac:dyDescent="0.25">
      <c r="A7" s="22">
        <v>4</v>
      </c>
      <c r="B7" s="19" t="s">
        <v>362</v>
      </c>
      <c r="C7" s="21" t="s">
        <v>363</v>
      </c>
      <c r="D7" s="21" t="s">
        <v>364</v>
      </c>
      <c r="E7" s="21" t="s">
        <v>354</v>
      </c>
    </row>
    <row r="8" ht="62" customHeight="1" spans="1:5" x14ac:dyDescent="0.25">
      <c r="A8" s="22">
        <v>5</v>
      </c>
      <c r="B8" s="19" t="s">
        <v>365</v>
      </c>
      <c r="C8" s="21" t="s">
        <v>366</v>
      </c>
      <c r="D8" s="21" t="s">
        <v>367</v>
      </c>
      <c r="E8" s="21" t="s">
        <v>368</v>
      </c>
    </row>
    <row r="9" ht="62" customHeight="1" spans="1:5" x14ac:dyDescent="0.25">
      <c r="A9" s="22">
        <v>6</v>
      </c>
      <c r="B9" s="19" t="s">
        <v>369</v>
      </c>
      <c r="C9" s="21" t="s">
        <v>370</v>
      </c>
      <c r="D9" s="21" t="s">
        <v>371</v>
      </c>
      <c r="E9" s="21" t="s">
        <v>372</v>
      </c>
    </row>
    <row r="10" ht="62" customHeight="1" spans="1:5" x14ac:dyDescent="0.25">
      <c r="A10" s="22">
        <v>7</v>
      </c>
      <c r="B10" s="19" t="s">
        <v>373</v>
      </c>
      <c r="C10" s="21" t="s">
        <v>374</v>
      </c>
      <c r="D10" s="21" t="s">
        <v>375</v>
      </c>
      <c r="E10" s="21" t="s">
        <v>376</v>
      </c>
    </row>
    <row r="11" ht="62" customHeight="1" spans="1:5" x14ac:dyDescent="0.25">
      <c r="A11" s="22">
        <v>8</v>
      </c>
      <c r="B11" s="19" t="s">
        <v>377</v>
      </c>
      <c r="C11" s="21" t="s">
        <v>378</v>
      </c>
      <c r="D11" s="21" t="s">
        <v>379</v>
      </c>
      <c r="E11" s="21" t="s">
        <v>380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2026-09-22T11:30:03Z</dcterms:modified>
</cp:coreProperties>
</file>