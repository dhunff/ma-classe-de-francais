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<sst xmlns="http://schemas.openxmlformats.org/spreadsheetml/2006/main" count="835" uniqueCount="604">
  <si>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</si>
  <si>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</si>
  <si>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</si>
  <si>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</si>
  <si>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</si>
  <si>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</si>
  <si>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</si>
  <si>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</si>
  <si>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</si>
  <si>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</si>
  <si>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</si>
  <si>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</si>
  <si>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</si>
  <si>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</si>
  <si>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</si>
  <si>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</si>
  <si>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</si>
  <si>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</si>
  <si>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</si>
  <si>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</si>
  <si>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</si>
  <si>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</si>
  <si>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</si>
  <si>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</si>
  <si>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</si>
  <si>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</si>
  <si>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</si>
  <si>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</si>
  <si>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</si>
  <si>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</si>
  <si>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</si>
  <si>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</si>
  <si>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</si>
  <si>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</si>
  <si>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</si>
  <si>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</si>
  <si>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</si>
  <si>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</si>
  <si>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</si>
  <si>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</si>
  <si>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</si>
  <si>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</si>
  <si>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</si>
  <si>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</si>
  <si>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</si>
  <si>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</si>
  <si>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</si>
  <si>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</si>
  <si>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</si>
  <si>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</si>
  <si>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</si>
  <si>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</si>
  <si>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</si>
  <si>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</si>
  <si>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</si>
  <si>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</si>
  <si>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</si>
  <si>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</si>
  <si>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</si>
  <si>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</si>
  <si>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</si>
  <si>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</si>
  <si>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</si>
  <si>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</si>
  <si>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</si>
  <si>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</si>
  <si>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</si>
  <si>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</si>
  <si>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</si>
  <si>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</si>
  <si>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</si>
  <si>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</si>
  <si>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</si>
  <si>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</si>
  <si>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</si>
  <si>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</si>
  <si>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</si>
  <si>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</si>
  <si>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</si>
  <si>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</si>
  <si>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</si>
  <si>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</si>
  <si>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</si>
  <si>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</si>
  <si>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</si>
  <si>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</si>
  <si>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</si>
  <si>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</si>
  <si>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</si>
  <si>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</si>
  <si>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</si>
  <si>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</si>
  <si>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</si>
  <si>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</si>
  <si>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</si>
  <si>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</si>
  <si>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</si>
  <si>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</si>
  <si>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</si>
  <si>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</si>
  <si>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</si>
  <si>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</si>
  <si>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</si>
  <si>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18/10 khuya</t>
  </si>
  <si>
    <t>Trang chủ www.fracile.vn trước trả trang trắng cho Google, nay dựng sẵn đủ nội dung; khai báo thương hiệu FRACILE (tên khác Fracile, fracile.vn) để Google thôi sửa thành « fragile »; llms.txt cho công cụ AI. Search Console: xác minh tên miền, sitemap 25 trang, trang chủ đã lập chỉ mục. Bing Webmaster nhập từ Search Console.</t>
  </si>
  <si>
    <t>18/10 đêm</t>
  </si>
  <si>
    <t>Trang công khai Lịch thi DELF, DALF (ngày thi, hạn đăng ký, lệ phí 2026 theo ifv.vn, 10 trung tâm thi, DELF Junior, DELF Prim, đếm ngược). Điện thoại: bảng ký tự tiếng Pháp thành một hàng nằm ngay trên ô đang gõ, không còn che ô nhập. Hồ sơ: trình độ và mục tiêu hiện tiếng Việt.</t>
  </si>
  <si>
    <t>18/10 khuya (2)</t>
  </si>
  <si>
    <t>Gửi link www.fracile.vn qua Facebook, Messenger, Zalo, iMessage hiện ảnh xem trước: banner « FRACILE · Học tiếng Pháp vui hơn cùng Leon » (1200×630).</t>
  </si>
  <si>
    <t>19/10</t>
  </si>
  <si>
    <t>Kết bạn: @username tự cấp cho 35/35 tài khoản, tìm bạn theo tên, gợi ý theo dõi kèm lý do, link kết bạn. Đề thi thử: thêm A1 Đề 3, C1 Đề 3, B1 Đề 4 đến 6, B2 Đề 4 đến 6 (21 đề phát hành; A1, A2 đề thường), soạn nội dung ngay trong đề, chọn Thường / VIP, « Xem như học sinh », soạn chủ đề bốc thăm. Trình soạn bài gọn lại thành 4 phần.</t>
  </si>
  <si>
    <t>20/10</t>
  </si>
  <si>
    <t>Thêm 14 bài luyện tập trả phí (19.000đ/bài hoặc 190 XP, VIP mở tất cả), ưu tiên A2, đọc hiểu, viết, C1. Bảng giá chốt: VIP tháng 99.000đ, bài luyện lẻ 19.000đ, đề thi thử lẻ 39.000đ.</t>
  </si>
  <si>
    <t>20/10 (tối)</t>
  </si>
  <si>
    <t>Thêm 10 bài đọc hiểu A2 miễn phí; tính năng tô sáng + sổ từ mới trong bài luyện tập và bài được giao (học sinh xem lại từ đã ghi sau khi nộp).</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</si>
  <si>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</si>
  <si>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</si>
  <si>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</si>
  <si>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</si>
  <si>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</si>
  <si>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</si>
  <si>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</si>
  <si>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</si>
  <si>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</si>
  <si>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</si>
  <si>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</si>
  <si>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</si>
  <si>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</si>
  <si>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</si>
  <si>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</si>
  <si>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</si>
  <si>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</si>
  <si>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</si>
  <si>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</si>
  <si>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</si>
  <si>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</si>
  <si>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</si>
  <si>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</si>
  <si>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</si>
  <si>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</si>
  <si>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</si>
  <si>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</si>
  <si>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</si>
  <si>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</si>
  <si>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</si>
  <si>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</si>
  <si>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</si>
  <si>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</si>
  <si>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</si>
  <si>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</si>
  <si>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</si>
  <si>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</si>
  <si>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</si>
  <si>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</si>
  <si>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</si>
  <si>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</si>
  <si>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</si>
  <si>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</si>
  <si>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</si>
  <si>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</si>
  <si>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</si>
  <si>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</si>
  <si>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</si>
  <si>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 19/10: 21 đề đang phát hành (A1 3, A2 3, B1 6, B2 6, DALF C1 3); A1, A2 đều là đề thường, B1, B2, C1 ngoài Đề 1 dành cho VIP. Đề mới B1, B2 Đề 4 đến 6 chủ đề nghị luận xã hội 2026 (mạng xã hội dưới 15 tuổi, sức khỏe tâm thần, mùa hè 2026, nhà ở, làm việc từ xa), bài đọc viết lại từ báo uy tín có ghi nguồn; A1 Đề 3, C1 Đề 3 nội dung do FRACILE soạn</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</si>
  <si>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</si>
  <si>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</si>
  <si>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</si>
  <si>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</si>
  <si>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</si>
  <si>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</si>
  <si>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</si>
  <si>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</si>
  <si>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</si>
  <si>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</si>
  <si>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</si>
  <si>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</si>
  <si>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</si>
  <si>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</si>
  <si>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</si>
  <si>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</si>
  <si>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</si>
  <si>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</si>
  <si>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</si>
  <si>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</si>
  <si>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</si>
  <si>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</si>
  <si>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</si>
  <si>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</si>
  <si>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 20/10: thêm 14 bài TRẢ PHÍ (A2, B1, B2, C1: đọc, viết, ngữ pháp, từ vựng, 2 bài nghe có audio; 94 câu), thư viện còn khoảng 80 bài. 20/10 (lần 2): thêm 10 bài đọc hiểu A2 MIỄN PHÍ (70 câu: email, thông báo, quảng cáo, công thức, blog…), đọc hiểu A2 trong thư viện từ 2 lên 12 bài</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</si>
  <si>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</si>
  <si>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</si>
  <si>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</si>
  <si>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</si>
  <si>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</si>
  <si>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</si>
  <si>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</si>
  <si>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</si>
  <si>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</si>
  <si>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</si>
  <si>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</si>
  <si>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</si>
  <si>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</si>
  <si>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</si>
  <si>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</si>
  <si>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</si>
  <si>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</si>
  <si>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</si>
  <si>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</si>
  <si>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</si>
  <si>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</si>
  <si>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</si>
  <si>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</si>
  <si>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</si>
  <si>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</si>
  <si>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</si>
  <si>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</si>
  <si>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</si>
  <si>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</si>
  <si>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</si>
  <si>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</si>
  <si>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</si>
  <si>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</si>
  <si>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</si>
  <si>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</si>
  <si>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</si>
  <si>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</si>
  <si>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</si>
  <si>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</si>
  <si>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</si>
  <si>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</si>
  <si>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</si>
  <si>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</si>
  <si>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</si>
  <si>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</si>
  <si>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</si>
  <si>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 19/10: mọi tài khoản tự có @username từ tên, tìm bạn theo tên không cần dấu, gợi ý theo dõi kèm lý do (theo dõi bạn, bạn chung, cùng trường, cùng trình độ), link kết bạn</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</si>
  <si>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</si>
  <si>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</si>
  <si>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</si>
  <si>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</si>
  <si>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</si>
  <si>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</si>
  <si>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</si>
  <si>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</si>
  <si>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</si>
  <si>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</si>
  <si>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</si>
  <si>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</si>
  <si>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</si>
  <si>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</si>
  <si>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</si>
  <si>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</si>
  <si>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</si>
  <si>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 19/10: soạn và sửa nội dung từng phần ngay trong đề (không chọn từ thư viện), chọn Đề thường / Đề VIP, nút « Xem như học sinh » mở đúng màn thi ở chế độ xem thử (không lưu, tắt ghi âm), soạn chủ đề bốc thăm cho phần Nói</t>
  </si>
  <si>
    <t>ExamComposer.jsx; /professeur/examens</t>
  </si>
  <si>
    <t>Soạn bài và quản lý thư viện</t>
  </si>
  <si>
    <t>Có — Builder, thư mục, chuyển bài giữa Entraînement và Devoir. 19/10: trình soạn bài chia 4 phần đánh số (thông tin, đề bài và tài liệu, cài đặt, câu hỏi), thêm câu hỏi theo 3 nhóm có mô tả, tên dạng câu tiếng Việt, thanh lưu dính đáy</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</si>
  <si>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</si>
  <si>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</si>
  <si>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</si>
  <si>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</si>
  <si>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</si>
  <si>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</si>
  <si>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</si>
  <si>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</si>
  <si>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</si>
  <si>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</si>
  <si>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</si>
  <si>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</si>
  <si>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</si>
  <si>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</si>
  <si>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</si>
  <si>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</si>
  <si>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</si>
  <si>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</si>
  <si>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</si>
  <si>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</si>
  <si>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</si>
  <si>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</si>
  <si>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</si>
  <si>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</si>
  <si>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</si>
  <si>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</si>
  <si>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</si>
  <si>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</si>
  <si>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</si>
  <si>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</si>
  <si>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</si>
  <si>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</si>
  <si>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</si>
  <si>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</si>
  <si>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Gửi link hiện ảnh xem trước (og:image 1200×630, banner FRACILE cùng Leon) trên Facebook, Messenger, Zalo, iMessage. Tên miền riêng www.fracile.vn (fracile.vn, fracile.cloud, fracile.vercel.app chuyển hướng về). Trang chủ dựng sẵn + khai báo thương hiệu (JSON-LD tổ chức, website, tên khác) + llms.txt cho AI; đã khai Google Search Console (trang chủ đã lập chỉ mục) và Bing Webmaster</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</si>
  <si>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</si>
  <si>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</si>
  <si>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</si>
  <si>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</si>
  <si>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</si>
  <si>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</si>
  <si>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 18/10: trình độ và mục tiêu trong hồ sơ hiện nhãn tiếng Việt</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</si>
  <si>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</si>
  <si>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</si>
  <si>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</si>
  <si>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</si>
  <si>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 20/10: bảng giá chốt: VIP tháng 99.000đ, bài luyện trả phí 19.000đ/bài (hoặc đổi 190 XP), đề thi thử lẻ 39.000đ; VIP mở mọi bài trả phí</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</si>
  <si>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</si>
  <si>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</si>
  <si>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</si>
  <si>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</si>
  <si>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</si>
  <si>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</si>
  <si>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</si>
  <si>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</si>
  <si>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</si>
  <si>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</si>
  <si>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</si>
  <si>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</si>
  <si>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</si>
  <si>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</si>
  <si>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</si>
  <si>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</si>
  <si>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</si>
  <si>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 18/10: trang công khai /lich-thi-delf, ngày thi, hạn đăng ký, lệ phí 2026 chép từ ifv.vn (Viện Pháp Hà Nội), ghi nguồn và ngày đối chiếu, đếm ngược đợt gần nhất</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</si>
  <si>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</si>
  <si>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</si>
  <si>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</si>
  <si>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</si>
  <si>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</si>
  <si>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</si>
  <si>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</si>
  <si>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</si>
  <si>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</si>
  <si>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</si>
  <si>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</si>
  <si>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</si>
  <si>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</si>
  <si>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</si>
  <si>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</si>
  <si>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</si>
  <si>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</si>
  <si>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</si>
  <si>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</si>
  <si>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</si>
  <si>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</si>
  <si>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</si>
  <si>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</si>
  <si>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</si>
  <si>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</si>
  <si>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</si>
  <si>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</si>
  <si>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</si>
  <si>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</si>
  <si>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</si>
  <si>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</si>
  <si>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</si>
  <si>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</si>
  <si>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</si>
  <si>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</si>
  <si>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</si>
  <si>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</si>
  <si>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</si>
  <si>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</si>
  <si>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</si>
  <si>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</si>
  <si>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</si>
  <si>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</si>
  <si>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</si>
  <si>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</si>
  <si>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</si>
  <si>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</si>
  <si>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</si>
  <si>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</si>
  <si>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</si>
  <si>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</si>
  <si>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</si>
  <si>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</si>
  <si>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</si>
  <si>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</si>
  <si>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</si>
  <si>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</si>
  <si>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</si>
  <si>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</si>
  <si>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</si>
  <si>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</si>
  <si>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</si>
  <si>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</si>
  <si>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</si>
  <si>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</si>
  <si>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</si>
  <si>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</si>
  <si>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</si>
  <si>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</si>
  <si>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</si>
  <si>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</si>
  <si>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</si>
  <si>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</si>
  <si>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</si>
  <si>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</si>
  <si>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</si>
  <si>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</si>
  <si>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</si>
  <si>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</si>
  <si>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</si>
  <si>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</si>
  <si>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</si>
  <si>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</si>
  <si>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</si>
  <si>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</si>
  <si>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</si>
  <si>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</si>
  <si>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</si>
  <si>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</si>
  <si>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</si>
  <si>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</si>
  <si>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</si>
  <si>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</si>
  <si>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</si>
  <si>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</si>
  <si>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</si>
  <si>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</si>
  <si>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</si>
  <si>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</si>
  <si>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</si>
  <si>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</si>
  <si>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</si>
  <si>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</si>
  <si>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</si>
  <si>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</si>
  <si>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</si>
  <si>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</si>
  <si>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</si>
  <si>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</si>
  <si>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</si>
  <si>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</si>
  <si>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</si>
  <si>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</si>
  <si>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</si>
  <si>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Tô sáng và sổ từ mới khi làm bài luyện tập / bài được giao</t>
  </si>
  <si>
    <t>KHÔNG CÓ (chưa thấy nêu)</t>
  </si>
  <si>
    <t>Bôi đen chữ trong đề, văn bản, câu hỏi: « Tô sáng » hoặc « Ghi vào sổ từ » (kèm nghĩa); nút bút tô (bật là bôi đen tô luôn) và nút sổ từ có số đếm, nằm ngay dưới văn bản đọc. Lưu theo tài khoản nên nộp bài xong, tải lại, đổi máy vẫn xem lại được; xem sổ từ của bài hoặc của mọi bài</t>
  </si>
  <si>
    <t>Mới 20/10, chưa thử bằng tài khoản học sinh thật</t>
  </si>
  <si>
    <t>Bảng so_tu (migration 151, 152, RLS chỉ chủ dòng), screens/practice/SoTuMoi.jsx, CSS Custom Highlight API</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</si>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</sst>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0"/>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tiết'!$A$2:$A$83,$A7)</f>
        <v>9</v>
      </c>
      <c r="C7" s="5">
        <f>SUMPRODUCT(('So sánh chi tiết'!$A$2:$A$83=$A7)*('So sánh chi tiết'!$D$2:$D$83&lt;&gt;"")*('So sánh chi tiết'!$F$2:$F$83&lt;&gt;""))</f>
        <v>9</v>
      </c>
      <c r="D7" s="6">
        <f>IFERROR(SUMPRODUCT(('So sánh chi tiết'!$A$2:$A$83=$A7)*('So sánh chi tiết'!$D$2:$D$83&lt;&gt;"")*('So sánh chi tiết'!$F$2:$F$83&lt;&gt;"")*'So sánh chi tiết'!$D$2:$D$83)/SUMPRODUCT(('So sánh chi tiết'!$A$2:$A$83=$A7)*('So sánh chi tiết'!$D$2:$D$83&lt;&gt;"")*('So sánh chi tiết'!$F$2:$F$83&lt;&gt;"")),"")</f>
        <v>1.1111111111111112</v>
      </c>
      <c r="E7" s="6">
        <f>IFERROR(SUMPRODUCT(('So sánh chi tiết'!$A$2:$A$83=$A7)*('So sánh chi tiết'!$D$2:$D$83&lt;&gt;"")*('So sánh chi tiết'!$F$2:$F$83&lt;&gt;"")*'So sánh chi tiết'!$F$2:$F$83)/SUMPRODUCT(('So sánh chi tiết'!$A$2:$A$83=$A7)*('So sánh chi tiết'!$D$2:$D$83&lt;&gt;"")*('So sánh chi tiết'!$F$2:$F$83&lt;&gt;"")),"")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tiết'!$A$2:$A$83,$A8)</f>
        <v>11</v>
      </c>
      <c r="C8" s="5">
        <f>SUMPRODUCT(('So sánh chi tiết'!$A$2:$A$83=$A8)*('So sánh chi tiết'!$D$2:$D$83&lt;&gt;"")*('So sánh chi tiết'!$F$2:$F$83&lt;&gt;""))</f>
        <v>11</v>
      </c>
      <c r="D8" s="6">
        <f>IFERROR(SUMPRODUCT(('So sánh chi tiết'!$A$2:$A$83=$A8)*('So sánh chi tiết'!$D$2:$D$83&lt;&gt;"")*('So sánh chi tiết'!$F$2:$F$83&lt;&gt;"")*'So sánh chi tiết'!$D$2:$D$83)/SUMPRODUCT(('So sánh chi tiết'!$A$2:$A$83=$A8)*('So sánh chi tiết'!$D$2:$D$83&lt;&gt;"")*('So sánh chi tiết'!$F$2:$F$83&lt;&gt;"")),"")</f>
        <v>0.18181818181818182</v>
      </c>
      <c r="E8" s="6">
        <f>IFERROR(SUMPRODUCT(('So sánh chi tiết'!$A$2:$A$83=$A8)*('So sánh chi tiết'!$D$2:$D$83&lt;&gt;"")*('So sánh chi tiết'!$F$2:$F$83&lt;&gt;"")*'So sánh chi tiết'!$F$2:$F$83)/SUMPRODUCT(('So sánh chi tiết'!$A$2:$A$83=$A8)*('So sánh chi tiết'!$D$2:$D$83&lt;&gt;"")*('So sánh chi tiết'!$F$2:$F$83&lt;&gt;"")),"")</f>
        <v>2</v>
      </c>
      <c r="F8" s="6">
        <f>IFERROR(E8-D8,"")</f>
        <v>1.8181818181818181</v>
      </c>
      <c r="G8" s="7" t="str">
        <f>IF(OR(C8&lt;3,F8=""),"quá ít mục",IF(F8&gt;0.25,"FRACILE",IF(F8&lt;-0.25,"Vivoire","ngang nhau")))</f>
        <v>FRACILE</v>
      </c>
    </row>
    <row r="9" ht="20" customHeight="1" spans="1:7" x14ac:dyDescent="0.25">
      <c r="A9" s="4" t="s">
        <v>13</v>
      </c>
      <c r="B9" s="5">
        <f>COUNTIF('So sánh chi tiết'!$A$2:$A$83,$A9)</f>
        <v>9</v>
      </c>
      <c r="C9" s="5">
        <f>SUMPRODUCT(('So sánh chi tiết'!$A$2:$A$83=$A9)*('So sánh chi tiết'!$D$2:$D$83&lt;&gt;"")*('So sánh chi tiết'!$F$2:$F$83&lt;&gt;""))</f>
        <v>8</v>
      </c>
      <c r="D9" s="6">
        <f>IFERROR(SUMPRODUCT(('So sánh chi tiết'!$A$2:$A$83=$A9)*('So sánh chi tiết'!$D$2:$D$83&lt;&gt;"")*('So sánh chi tiết'!$F$2:$F$83&lt;&gt;"")*'So sánh chi tiết'!$D$2:$D$83)/SUMPRODUCT(('So sánh chi tiết'!$A$2:$A$83=$A9)*('So sánh chi tiết'!$D$2:$D$83&lt;&gt;"")*('So sánh chi tiết'!$F$2:$F$83&lt;&gt;"")),"")</f>
        <v>1.5</v>
      </c>
      <c r="E9" s="6">
        <f>IFERROR(SUMPRODUCT(('So sánh chi tiết'!$A$2:$A$83=$A9)*('So sánh chi tiết'!$D$2:$D$83&lt;&gt;"")*('So sánh chi tiết'!$F$2:$F$83&lt;&gt;"")*'So sánh chi tiết'!$F$2:$F$83)/SUMPRODUCT(('So sánh chi tiết'!$A$2:$A$83=$A9)*('So sánh chi tiết'!$D$2:$D$83&lt;&gt;"")*('So sánh chi tiết'!$F$2:$F$83&lt;&gt;"")),"")</f>
        <v>1.625</v>
      </c>
      <c r="F9" s="6">
        <f>IFERROR(E9-D9,"")</f>
        <v>0.125</v>
      </c>
      <c r="G9" s="7" t="str">
        <f>IF(OR(C9&lt;3,F9=""),"quá ít mục",IF(F9&gt;0.25,"FRACILE",IF(F9&lt;-0.25,"Vivoire","ngang nhau")))</f>
        <v>ngang nhau</v>
      </c>
    </row>
    <row r="10" ht="20" customHeight="1" spans="1:7" x14ac:dyDescent="0.25">
      <c r="A10" s="4" t="s">
        <v>14</v>
      </c>
      <c r="B10" s="5">
        <f>COUNTIF('So sánh chi tiết'!$A$2:$A$83,$A10)</f>
        <v>25</v>
      </c>
      <c r="C10" s="5">
        <f>SUMPRODUCT(('So sánh chi tiết'!$A$2:$A$83=$A10)*('So sánh chi tiết'!$D$2:$D$83&lt;&gt;"")*('So sánh chi tiết'!$F$2:$F$83&lt;&gt;""))</f>
        <v>23</v>
      </c>
      <c r="D10" s="6">
        <f>IFERROR(SUMPRODUCT(('So sánh chi tiết'!$A$2:$A$83=$A10)*('So sánh chi tiết'!$D$2:$D$83&lt;&gt;"")*('So sánh chi tiết'!$F$2:$F$83&lt;&gt;"")*'So sánh chi tiết'!$D$2:$D$83)/SUMPRODUCT(('So sánh chi tiết'!$A$2:$A$83=$A10)*('So sánh chi tiết'!$D$2:$D$83&lt;&gt;"")*('So sánh chi tiết'!$F$2:$F$83&lt;&gt;"")),"")</f>
        <v>0.5217391304347826</v>
      </c>
      <c r="E10" s="6">
        <f>IFERROR(SUMPRODUCT(('So sánh chi tiết'!$A$2:$A$83=$A10)*('So sánh chi tiết'!$D$2:$D$83&lt;&gt;"")*('So sánh chi tiết'!$F$2:$F$83&lt;&gt;"")*'So sánh chi tiết'!$F$2:$F$83)/SUMPRODUCT(('So sánh chi tiết'!$A$2:$A$83=$A10)*('So sánh chi tiết'!$D$2:$D$83&lt;&gt;"")*('So sánh chi tiết'!$F$2:$F$83&lt;&gt;"")),"")</f>
        <v>1.9565217391304348</v>
      </c>
      <c r="F10" s="6">
        <f>IFERROR(E10-D10,"")</f>
        <v>1.4347826086956523</v>
      </c>
      <c r="G10" s="7" t="str">
        <f>IF(OR(C10&lt;3,F10=""),"quá ít mục",IF(F10&gt;0.25,"FRACILE",IF(F10&lt;-0.25,"Vivoire","ngang nhau")))</f>
        <v>FRACILE</v>
      </c>
    </row>
    <row r="11" ht="20" customHeight="1" spans="1:7" x14ac:dyDescent="0.25">
      <c r="A11" s="4" t="s">
        <v>15</v>
      </c>
      <c r="B11" s="5">
        <f>COUNTIF('So sánh chi tiết'!$A$2:$A$83,$A11)</f>
        <v>16</v>
      </c>
      <c r="C11" s="5">
        <f>SUMPRODUCT(('So sánh chi tiết'!$A$2:$A$83=$A11)*('So sánh chi tiết'!$D$2:$D$83&lt;&gt;"")*('So sánh chi tiết'!$F$2:$F$83&lt;&gt;""))</f>
        <v>15</v>
      </c>
      <c r="D11" s="6">
        <f>IFERROR(SUMPRODUCT(('So sánh chi tiết'!$A$2:$A$83=$A11)*('So sánh chi tiết'!$D$2:$D$83&lt;&gt;"")*('So sánh chi tiết'!$F$2:$F$83&lt;&gt;"")*'So sánh chi tiết'!$D$2:$D$83)/SUMPRODUCT(('So sánh chi tiết'!$A$2:$A$83=$A11)*('So sánh chi tiết'!$D$2:$D$83&lt;&gt;"")*('So sánh chi tiết'!$F$2:$F$83&lt;&gt;"")),"")</f>
        <v>0.5333333333333333</v>
      </c>
      <c r="E11" s="6">
        <f>IFERROR(SUMPRODUCT(('So sánh chi tiết'!$A$2:$A$83=$A11)*('So sánh chi tiết'!$D$2:$D$83&lt;&gt;"")*('So sánh chi tiết'!$F$2:$F$83&lt;&gt;"")*'So sánh chi tiết'!$F$2:$F$83)/SUMPRODUCT(('So sánh chi tiết'!$A$2:$A$83=$A11)*('So sánh chi tiết'!$D$2:$D$83&lt;&gt;"")*('So sánh chi tiết'!$F$2:$F$83&lt;&gt;"")),"")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tiết'!$A$2:$A$83,$A12)</f>
        <v>4</v>
      </c>
      <c r="C12" s="5">
        <f>SUMPRODUCT(('So sánh chi tiết'!$A$2:$A$83=$A12)*('So sánh chi tiết'!$D$2:$D$83&lt;&gt;"")*('So sánh chi tiết'!$F$2:$F$83&lt;&gt;""))</f>
        <v>3</v>
      </c>
      <c r="D12" s="6">
        <f>IFERROR(SUMPRODUCT(('So sánh chi tiết'!$A$2:$A$83=$A12)*('So sánh chi tiết'!$D$2:$D$83&lt;&gt;"")*('So sánh chi tiết'!$F$2:$F$83&lt;&gt;"")*'So sánh chi tiết'!$D$2:$D$83)/SUMPRODUCT(('So sánh chi tiết'!$A$2:$A$83=$A12)*('So sánh chi tiết'!$D$2:$D$83&lt;&gt;"")*('So sánh chi tiết'!$F$2:$F$83&lt;&gt;"")),"")</f>
        <v>1.6666666666666667</v>
      </c>
      <c r="E12" s="6">
        <f>IFERROR(SUMPRODUCT(('So sánh chi tiết'!$A$2:$A$83=$A12)*('So sánh chi tiết'!$D$2:$D$83&lt;&gt;"")*('So sánh chi tiết'!$F$2:$F$83&lt;&gt;"")*'So sánh chi tiết'!$F$2:$F$83)/SUMPRODUCT(('So sánh chi tiết'!$A$2:$A$83=$A12)*('So sánh chi tiết'!$D$2:$D$83&lt;&gt;"")*('So sánh chi tiết'!$F$2:$F$83&lt;&gt;"")),"")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tiết'!$A$2:$A$83,$A13)</f>
        <v>8</v>
      </c>
      <c r="C13" s="5">
        <f>SUMPRODUCT(('So sánh chi tiết'!$A$2:$A$83=$A13)*('So sánh chi tiết'!$D$2:$D$83&lt;&gt;"")*('So sánh chi tiết'!$F$2:$F$83&lt;&gt;""))</f>
        <v>7</v>
      </c>
      <c r="D13" s="6">
        <f>IFERROR(SUMPRODUCT(('So sánh chi tiết'!$A$2:$A$83=$A13)*('So sánh chi tiết'!$D$2:$D$83&lt;&gt;"")*('So sánh chi tiết'!$F$2:$F$83&lt;&gt;"")*'So sánh chi tiết'!$D$2:$D$83)/SUMPRODUCT(('So sánh chi tiết'!$A$2:$A$83=$A13)*('So sánh chi tiết'!$D$2:$D$83&lt;&gt;"")*('So sánh chi tiết'!$F$2:$F$83&lt;&gt;"")),"")</f>
        <v>1.2857142857142858</v>
      </c>
      <c r="E13" s="6">
        <f>IFERROR(SUMPRODUCT(('So sánh chi tiết'!$A$2:$A$83=$A13)*('So sánh chi tiết'!$D$2:$D$83&lt;&gt;"")*('So sánh chi tiết'!$F$2:$F$83&lt;&gt;"")*'So sánh chi tiết'!$F$2:$F$83)/SUMPRODUCT(('So sánh chi tiết'!$A$2:$A$83=$A13)*('So sánh chi tiết'!$D$2:$D$83&lt;&gt;"")*('So sánh chi tiết'!$F$2:$F$83&lt;&gt;"")),"")</f>
        <v>1.5714285714285714</v>
      </c>
      <c r="F13" s="6">
        <f>IFERROR(E13-D13,"")</f>
        <v>0.2857142857142856</v>
      </c>
      <c r="G13" s="7" t="str">
        <f>IF(OR(C13&lt;3,F13=""),"quá ít mục",IF(F13&gt;0.25,"FRACILE",IF(F13&lt;-0.25,"Vivoire","ngang nhau")))</f>
        <v>FRACILE</v>
      </c>
    </row>
    <row r="14" spans="1:7" x14ac:dyDescent="0.25">
      <c r="A14" s="8" t="s">
        <v>18</v>
      </c>
      <c r="B14" s="9">
        <f>SUM(B7:B13)</f>
        <v>82</v>
      </c>
      <c r="C14" s="9">
        <f>SUM(C7:C13)</f>
        <v>76</v>
      </c>
      <c r="D14" s="10">
        <f>IFERROR(SUMPRODUCT(('So sánh chi tiết'!$D$2:$D$83&lt;&gt;"")*('So sánh chi tiết'!$F$2:$F$83&lt;&gt;"")*'So sánh chi tiết'!$D$2:$D$83)/SUMPRODUCT(('So sánh chi tiết'!$D$2:$D$83&lt;&gt;"")*('So sánh chi tiết'!$F$2:$F$83&lt;&gt;"")),"")</f>
        <v>0.7631578947368421</v>
      </c>
      <c r="E14" s="10">
        <f>IFERROR(SUMPRODUCT(('So sánh chi tiết'!$D$2:$D$83&lt;&gt;"")*('So sánh chi tiết'!$F$2:$F$83&lt;&gt;"")*'So sánh chi tiết'!$F$2:$F$83)/SUMPRODUCT(('So sánh chi tiết'!$D$2:$D$83&lt;&gt;"")*('So sánh chi tiết'!$F$2:$F$83&lt;&gt;"")),"")</f>
        <v>1.7763157894736843</v>
      </c>
      <c r="F14" s="10">
        <f>E14-D14</f>
        <v>1.013157894736842</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row r="65" ht="28" customHeight="1" spans="1:7" x14ac:dyDescent="0.25">
      <c r="A65" s="17" t="s">
        <v>105</v>
      </c>
      <c r="B65" s="18" t="s">
        <v>106</v>
      </c>
      <c r="C65" s="18"/>
      <c r="D65" s="18"/>
      <c r="E65" s="18"/>
      <c r="F65" s="18"/>
      <c r="G65" s="18"/>
    </row>
    <row r="66" ht="28" customHeight="1" spans="1:7" x14ac:dyDescent="0.25">
      <c r="A66" s="17" t="s">
        <v>107</v>
      </c>
      <c r="B66" s="18" t="s">
        <v>108</v>
      </c>
      <c r="C66" s="18"/>
      <c r="D66" s="18"/>
      <c r="E66" s="18"/>
      <c r="F66" s="18"/>
      <c r="G66" s="18"/>
    </row>
    <row r="67" ht="28" customHeight="1" spans="1:7" x14ac:dyDescent="0.25">
      <c r="A67" s="17" t="s">
        <v>109</v>
      </c>
      <c r="B67" s="18" t="s">
        <v>110</v>
      </c>
      <c r="C67" s="18"/>
      <c r="D67" s="18"/>
      <c r="E67" s="18"/>
      <c r="F67" s="18"/>
      <c r="G67" s="18"/>
    </row>
    <row r="68" ht="28" customHeight="1" spans="1:7" x14ac:dyDescent="0.25">
      <c r="A68" s="17" t="s">
        <v>111</v>
      </c>
      <c r="B68" s="18" t="s">
        <v>112</v>
      </c>
      <c r="C68" s="18"/>
      <c r="D68" s="18"/>
      <c r="E68" s="18"/>
      <c r="F68" s="18"/>
      <c r="G68" s="18"/>
    </row>
    <row r="69" ht="28" customHeight="1" spans="1:7" x14ac:dyDescent="0.25">
      <c r="A69" s="17" t="s">
        <v>113</v>
      </c>
      <c r="B69" s="18" t="s">
        <v>114</v>
      </c>
      <c r="C69" s="18"/>
      <c r="D69" s="18"/>
      <c r="E69" s="18"/>
      <c r="F69" s="18"/>
      <c r="G69" s="18"/>
    </row>
    <row r="70" ht="28" customHeight="1" spans="1:7" x14ac:dyDescent="0.25">
      <c r="A70" s="17" t="s">
        <v>115</v>
      </c>
      <c r="B70" s="18" t="s">
        <v>116</v>
      </c>
      <c r="C70" s="18"/>
      <c r="D70" s="18"/>
      <c r="E70" s="18"/>
      <c r="F70" s="18"/>
      <c r="G70" s="18"/>
    </row>
  </sheetData>
  <mergeCells count="44">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3"/>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117</v>
      </c>
      <c r="C1" s="3" t="s">
        <v>118</v>
      </c>
      <c r="D1" s="3" t="s">
        <v>119</v>
      </c>
      <c r="E1" s="3" t="s">
        <v>120</v>
      </c>
      <c r="F1" s="3" t="s">
        <v>121</v>
      </c>
      <c r="G1" s="3" t="s">
        <v>122</v>
      </c>
      <c r="H1" s="3" t="s">
        <v>123</v>
      </c>
      <c r="I1" s="3" t="s">
        <v>124</v>
      </c>
    </row>
    <row r="2" ht="44" customHeight="1" spans="1:9" x14ac:dyDescent="0.25">
      <c r="A2" s="19" t="s">
        <v>11</v>
      </c>
      <c r="B2" s="20" t="s">
        <v>125</v>
      </c>
      <c r="C2" s="21" t="s">
        <v>126</v>
      </c>
      <c r="D2" s="22">
        <v>2</v>
      </c>
      <c r="E2" s="21" t="s">
        <v>127</v>
      </c>
      <c r="F2" s="22">
        <v>2</v>
      </c>
      <c r="G2" s="23" t="str">
        <f>IF(OR(D2="",F2=""),"chưa rõ",IF(F2&gt;D2,"FRACILE",IF(D2&gt;F2,"Vivoire","hoà")))</f>
        <v>hoà</v>
      </c>
      <c r="H2" s="19" t="s">
        <v>128</v>
      </c>
      <c r="I2" s="24" t="s">
        <v>129</v>
      </c>
    </row>
    <row r="3" ht="44" customHeight="1" spans="1:9" x14ac:dyDescent="0.25">
      <c r="A3" s="25" t="s">
        <v>11</v>
      </c>
      <c r="B3" s="26" t="s">
        <v>130</v>
      </c>
      <c r="C3" s="27" t="s">
        <v>131</v>
      </c>
      <c r="D3" s="28">
        <v>0</v>
      </c>
      <c r="E3" s="27" t="s">
        <v>132</v>
      </c>
      <c r="F3" s="28">
        <v>2</v>
      </c>
      <c r="G3" s="29" t="str">
        <f>IF(OR(D3="",F3=""),"chưa rõ",IF(F3&gt;D3,"FRACILE",IF(D3&gt;F3,"Vivoire","hoà")))</f>
        <v>FRACILE</v>
      </c>
      <c r="H3" s="25" t="s">
        <v>128</v>
      </c>
      <c r="I3" s="30" t="s">
        <v>133</v>
      </c>
    </row>
    <row r="4" ht="44" customHeight="1" spans="1:9" x14ac:dyDescent="0.25">
      <c r="A4" s="19" t="s">
        <v>11</v>
      </c>
      <c r="B4" s="20" t="s">
        <v>134</v>
      </c>
      <c r="C4" s="21" t="s">
        <v>135</v>
      </c>
      <c r="D4" s="22">
        <v>2</v>
      </c>
      <c r="E4" s="21" t="s">
        <v>136</v>
      </c>
      <c r="F4" s="22">
        <v>2</v>
      </c>
      <c r="G4" s="23" t="str">
        <f>IF(OR(D4="",F4=""),"chưa rõ",IF(F4&gt;D4,"FRACILE",IF(D4&gt;F4,"Vivoire","hoà")))</f>
        <v>hoà</v>
      </c>
      <c r="H4" s="19" t="s">
        <v>137</v>
      </c>
      <c r="I4" s="24" t="s">
        <v>138</v>
      </c>
    </row>
    <row r="5" ht="44" customHeight="1" spans="1:9" x14ac:dyDescent="0.25">
      <c r="A5" s="19" t="s">
        <v>11</v>
      </c>
      <c r="B5" s="20" t="s">
        <v>139</v>
      </c>
      <c r="C5" s="21" t="s">
        <v>140</v>
      </c>
      <c r="D5" s="22">
        <v>2</v>
      </c>
      <c r="E5" s="21" t="s">
        <v>141</v>
      </c>
      <c r="F5" s="22">
        <v>1</v>
      </c>
      <c r="G5" s="23" t="str">
        <f>IF(OR(D5="",F5=""),"chưa rõ",IF(F5&gt;D5,"FRACILE",IF(D5&gt;F5,"Vivoire","hoà")))</f>
        <v>Vivoire</v>
      </c>
      <c r="H5" s="19" t="s">
        <v>128</v>
      </c>
      <c r="I5" s="24" t="s">
        <v>142</v>
      </c>
    </row>
    <row r="6" ht="44" customHeight="1" spans="1:9" x14ac:dyDescent="0.25">
      <c r="A6" s="19" t="s">
        <v>11</v>
      </c>
      <c r="B6" s="20" t="s">
        <v>143</v>
      </c>
      <c r="C6" s="21" t="s">
        <v>144</v>
      </c>
      <c r="D6" s="22">
        <v>2</v>
      </c>
      <c r="E6" s="21" t="s">
        <v>145</v>
      </c>
      <c r="F6" s="22">
        <v>1</v>
      </c>
      <c r="G6" s="23" t="str">
        <f>IF(OR(D6="",F6=""),"chưa rõ",IF(F6&gt;D6,"FRACILE",IF(D6&gt;F6,"Vivoire","hoà")))</f>
        <v>Vivoire</v>
      </c>
      <c r="H6" s="19" t="s">
        <v>146</v>
      </c>
      <c r="I6" s="24" t="s">
        <v>147</v>
      </c>
    </row>
    <row r="7" ht="44" customHeight="1" spans="1:9" x14ac:dyDescent="0.25">
      <c r="A7" s="31" t="s">
        <v>11</v>
      </c>
      <c r="B7" s="32" t="s">
        <v>148</v>
      </c>
      <c r="C7" s="33" t="s">
        <v>149</v>
      </c>
      <c r="D7" s="34">
        <v>2</v>
      </c>
      <c r="E7" s="33" t="s">
        <v>150</v>
      </c>
      <c r="F7" s="34">
        <v>0</v>
      </c>
      <c r="G7" s="35" t="str">
        <f>IF(OR(D7="",F7=""),"chưa rõ",IF(F7&gt;D7,"FRACILE",IF(D7&gt;F7,"Vivoire","hoà")))</f>
        <v>Vivoire</v>
      </c>
      <c r="H7" s="31" t="s">
        <v>151</v>
      </c>
      <c r="I7" s="36" t="s">
        <v>152</v>
      </c>
    </row>
    <row r="8" ht="44" customHeight="1" spans="1:9" x14ac:dyDescent="0.25">
      <c r="A8" s="25" t="s">
        <v>11</v>
      </c>
      <c r="B8" s="26" t="s">
        <v>153</v>
      </c>
      <c r="C8" s="27" t="s">
        <v>131</v>
      </c>
      <c r="D8" s="28">
        <v>0</v>
      </c>
      <c r="E8" s="27" t="s">
        <v>154</v>
      </c>
      <c r="F8" s="28">
        <v>2</v>
      </c>
      <c r="G8" s="29" t="str">
        <f>IF(OR(D8="",F8=""),"chưa rõ",IF(F8&gt;D8,"FRACILE",IF(D8&gt;F8,"Vivoire","hoà")))</f>
        <v>FRACILE</v>
      </c>
      <c r="H8" s="25" t="s">
        <v>155</v>
      </c>
      <c r="I8" s="30" t="s">
        <v>156</v>
      </c>
    </row>
    <row r="9" ht="44" customHeight="1" spans="1:9" x14ac:dyDescent="0.25">
      <c r="A9" s="25" t="s">
        <v>11</v>
      </c>
      <c r="B9" s="26" t="s">
        <v>157</v>
      </c>
      <c r="C9" s="27" t="s">
        <v>23</v>
      </c>
      <c r="D9" s="28">
        <v>0</v>
      </c>
      <c r="E9" s="27" t="s">
        <v>158</v>
      </c>
      <c r="F9" s="28">
        <v>2</v>
      </c>
      <c r="G9" s="29" t="str">
        <f>IF(OR(D9="",F9=""),"chưa rõ",IF(F9&gt;D9,"FRACILE",IF(D9&gt;F9,"Vivoire","hoà")))</f>
        <v>FRACILE</v>
      </c>
      <c r="H9" s="25" t="s">
        <v>159</v>
      </c>
      <c r="I9" s="30" t="s">
        <v>160</v>
      </c>
    </row>
    <row r="10" ht="44" customHeight="1" spans="1:9" x14ac:dyDescent="0.25">
      <c r="A10" s="19" t="s">
        <v>12</v>
      </c>
      <c r="B10" s="20" t="s">
        <v>161</v>
      </c>
      <c r="C10" s="21" t="s">
        <v>162</v>
      </c>
      <c r="D10" s="22">
        <v>2</v>
      </c>
      <c r="E10" s="21" t="s">
        <v>163</v>
      </c>
      <c r="F10" s="22">
        <v>2</v>
      </c>
      <c r="G10" s="23" t="str">
        <f>IF(OR(D10="",F10=""),"chưa rõ",IF(F10&gt;D10,"FRACILE",IF(D10&gt;F10,"Vivoire","hoà")))</f>
        <v>hoà</v>
      </c>
      <c r="H10" s="19" t="s">
        <v>164</v>
      </c>
      <c r="I10" s="24" t="s">
        <v>165</v>
      </c>
    </row>
    <row r="11" ht="44" customHeight="1" spans="1:9" x14ac:dyDescent="0.25">
      <c r="A11" s="25" t="s">
        <v>12</v>
      </c>
      <c r="B11" s="26" t="s">
        <v>166</v>
      </c>
      <c r="C11" s="27" t="s">
        <v>131</v>
      </c>
      <c r="D11" s="28">
        <v>0</v>
      </c>
      <c r="E11" s="27" t="s">
        <v>167</v>
      </c>
      <c r="F11" s="28">
        <v>2</v>
      </c>
      <c r="G11" s="29" t="str">
        <f>IF(OR(D11="",F11=""),"chưa rõ",IF(F11&gt;D11,"FRACILE",IF(D11&gt;F11,"Vivoire","hoà")))</f>
        <v>FRACILE</v>
      </c>
      <c r="H11" s="25" t="s">
        <v>128</v>
      </c>
      <c r="I11" s="30" t="s">
        <v>168</v>
      </c>
    </row>
    <row r="12" ht="44" customHeight="1" spans="1:9" x14ac:dyDescent="0.25">
      <c r="A12" s="25" t="s">
        <v>12</v>
      </c>
      <c r="B12" s="26" t="s">
        <v>169</v>
      </c>
      <c r="C12" s="27" t="s">
        <v>131</v>
      </c>
      <c r="D12" s="28">
        <v>0</v>
      </c>
      <c r="E12" s="27" t="s">
        <v>170</v>
      </c>
      <c r="F12" s="28">
        <v>2</v>
      </c>
      <c r="G12" s="29" t="str">
        <f>IF(OR(D12="",F12=""),"chưa rõ",IF(F12&gt;D12,"FRACILE",IF(D12&gt;F12,"Vivoire","hoà")))</f>
        <v>FRACILE</v>
      </c>
      <c r="H12" s="25" t="s">
        <v>128</v>
      </c>
      <c r="I12" s="30" t="s">
        <v>171</v>
      </c>
    </row>
    <row r="13" ht="44" customHeight="1" spans="1:9" x14ac:dyDescent="0.25">
      <c r="A13" s="25" t="s">
        <v>12</v>
      </c>
      <c r="B13" s="26" t="s">
        <v>172</v>
      </c>
      <c r="C13" s="27" t="s">
        <v>131</v>
      </c>
      <c r="D13" s="28">
        <v>0</v>
      </c>
      <c r="E13" s="27" t="s">
        <v>173</v>
      </c>
      <c r="F13" s="28">
        <v>2</v>
      </c>
      <c r="G13" s="29" t="str">
        <f>IF(OR(D13="",F13=""),"chưa rõ",IF(F13&gt;D13,"FRACILE",IF(D13&gt;F13,"Vivoire","hoà")))</f>
        <v>FRACILE</v>
      </c>
      <c r="H13" s="25" t="s">
        <v>128</v>
      </c>
      <c r="I13" s="30" t="s">
        <v>174</v>
      </c>
    </row>
    <row r="14" ht="44" customHeight="1" spans="1:9" x14ac:dyDescent="0.25">
      <c r="A14" s="25" t="s">
        <v>12</v>
      </c>
      <c r="B14" s="26" t="s">
        <v>175</v>
      </c>
      <c r="C14" s="27" t="s">
        <v>131</v>
      </c>
      <c r="D14" s="28">
        <v>0</v>
      </c>
      <c r="E14" s="27" t="s">
        <v>176</v>
      </c>
      <c r="F14" s="28">
        <v>2</v>
      </c>
      <c r="G14" s="29" t="str">
        <f>IF(OR(D14="",F14=""),"chưa rõ",IF(F14&gt;D14,"FRACILE",IF(D14&gt;F14,"Vivoire","hoà")))</f>
        <v>FRACILE</v>
      </c>
      <c r="H14" s="25" t="s">
        <v>128</v>
      </c>
      <c r="I14" s="30" t="s">
        <v>177</v>
      </c>
    </row>
    <row r="15" ht="44" customHeight="1" spans="1:9" x14ac:dyDescent="0.25">
      <c r="A15" s="25" t="s">
        <v>12</v>
      </c>
      <c r="B15" s="26" t="s">
        <v>178</v>
      </c>
      <c r="C15" s="27" t="s">
        <v>131</v>
      </c>
      <c r="D15" s="28">
        <v>0</v>
      </c>
      <c r="E15" s="27" t="s">
        <v>179</v>
      </c>
      <c r="F15" s="28">
        <v>2</v>
      </c>
      <c r="G15" s="29" t="str">
        <f>IF(OR(D15="",F15=""),"chưa rõ",IF(F15&gt;D15,"FRACILE",IF(D15&gt;F15,"Vivoire","hoà")))</f>
        <v>FRACILE</v>
      </c>
      <c r="H15" s="25" t="s">
        <v>128</v>
      </c>
      <c r="I15" s="30" t="s">
        <v>180</v>
      </c>
    </row>
    <row r="16" ht="44" customHeight="1" spans="1:9" x14ac:dyDescent="0.25">
      <c r="A16" s="19" t="s">
        <v>13</v>
      </c>
      <c r="B16" s="20" t="s">
        <v>181</v>
      </c>
      <c r="C16" s="21" t="s">
        <v>182</v>
      </c>
      <c r="D16" s="22">
        <v>2</v>
      </c>
      <c r="E16" s="21" t="s">
        <v>183</v>
      </c>
      <c r="F16" s="22">
        <v>1</v>
      </c>
      <c r="G16" s="23" t="str">
        <f>IF(OR(D16="",F16=""),"chưa rõ",IF(F16&gt;D16,"FRACILE",IF(D16&gt;F16,"Vivoire","hoà")))</f>
        <v>Vivoire</v>
      </c>
      <c r="H16" s="19" t="s">
        <v>184</v>
      </c>
      <c r="I16" s="24" t="s">
        <v>185</v>
      </c>
    </row>
    <row r="17" ht="44" customHeight="1" spans="1:9" x14ac:dyDescent="0.25">
      <c r="A17" s="19" t="s">
        <v>13</v>
      </c>
      <c r="B17" s="20" t="s">
        <v>186</v>
      </c>
      <c r="C17" s="21" t="s">
        <v>187</v>
      </c>
      <c r="D17" s="22">
        <v>2</v>
      </c>
      <c r="E17" s="21" t="s">
        <v>188</v>
      </c>
      <c r="F17" s="22">
        <v>2</v>
      </c>
      <c r="G17" s="23" t="str">
        <f>IF(OR(D17="",F17=""),"chưa rõ",IF(F17&gt;D17,"FRACILE",IF(D17&gt;F17,"Vivoire","hoà")))</f>
        <v>hoà</v>
      </c>
      <c r="H17" s="19" t="s">
        <v>128</v>
      </c>
      <c r="I17" s="24" t="s">
        <v>189</v>
      </c>
    </row>
    <row r="18" ht="44" customHeight="1" spans="1:9" x14ac:dyDescent="0.25">
      <c r="A18" s="25" t="s">
        <v>13</v>
      </c>
      <c r="B18" s="26" t="s">
        <v>190</v>
      </c>
      <c r="C18" s="27" t="s">
        <v>191</v>
      </c>
      <c r="D18" s="28"/>
      <c r="E18" s="27" t="s">
        <v>192</v>
      </c>
      <c r="F18" s="28">
        <v>2</v>
      </c>
      <c r="G18" s="29" t="str">
        <f>IF(OR(D18="",F18=""),"chưa rõ",IF(F18&gt;D18,"FRACILE",IF(D18&gt;F18,"Vivoire","hoà")))</f>
        <v>chưa rõ</v>
      </c>
      <c r="H18" s="25" t="s">
        <v>128</v>
      </c>
      <c r="I18" s="30" t="s">
        <v>193</v>
      </c>
    </row>
    <row r="19" ht="44" customHeight="1" spans="1:9" x14ac:dyDescent="0.25">
      <c r="A19" s="19" t="s">
        <v>13</v>
      </c>
      <c r="B19" s="20" t="s">
        <v>194</v>
      </c>
      <c r="C19" s="21" t="s">
        <v>195</v>
      </c>
      <c r="D19" s="22">
        <v>2</v>
      </c>
      <c r="E19" s="21" t="s">
        <v>196</v>
      </c>
      <c r="F19" s="22">
        <v>1</v>
      </c>
      <c r="G19" s="23" t="str">
        <f>IF(OR(D19="",F19=""),"chưa rõ",IF(F19&gt;D19,"FRACILE",IF(D19&gt;F19,"Vivoire","hoà")))</f>
        <v>Vivoire</v>
      </c>
      <c r="H19" s="19" t="s">
        <v>197</v>
      </c>
      <c r="I19" s="24" t="s">
        <v>198</v>
      </c>
    </row>
    <row r="20" ht="44" customHeight="1" spans="1:9" x14ac:dyDescent="0.25">
      <c r="A20" s="25" t="s">
        <v>13</v>
      </c>
      <c r="B20" s="26" t="s">
        <v>199</v>
      </c>
      <c r="C20" s="27" t="s">
        <v>131</v>
      </c>
      <c r="D20" s="28">
        <v>0</v>
      </c>
      <c r="E20" s="27" t="s">
        <v>200</v>
      </c>
      <c r="F20" s="28">
        <v>2</v>
      </c>
      <c r="G20" s="29" t="str">
        <f>IF(OR(D20="",F20=""),"chưa rõ",IF(F20&gt;D20,"FRACILE",IF(D20&gt;F20,"Vivoire","hoà")))</f>
        <v>FRACILE</v>
      </c>
      <c r="H20" s="25" t="s">
        <v>128</v>
      </c>
      <c r="I20" s="30" t="s">
        <v>201</v>
      </c>
    </row>
    <row r="21" ht="44" customHeight="1" spans="1:9" x14ac:dyDescent="0.25">
      <c r="A21" s="19" t="s">
        <v>14</v>
      </c>
      <c r="B21" s="20" t="s">
        <v>202</v>
      </c>
      <c r="C21" s="21" t="s">
        <v>203</v>
      </c>
      <c r="D21" s="22">
        <v>2</v>
      </c>
      <c r="E21" s="21" t="s">
        <v>204</v>
      </c>
      <c r="F21" s="22">
        <v>2</v>
      </c>
      <c r="G21" s="23" t="str">
        <f>IF(OR(D21="",F21=""),"chưa rõ",IF(F21&gt;D21,"FRACILE",IF(D21&gt;F21,"Vivoire","hoà")))</f>
        <v>hoà</v>
      </c>
      <c r="H21" s="19" t="s">
        <v>205</v>
      </c>
      <c r="I21" s="24" t="s">
        <v>206</v>
      </c>
    </row>
    <row r="22" ht="44" customHeight="1" spans="1:9" x14ac:dyDescent="0.25">
      <c r="A22" s="25" t="s">
        <v>14</v>
      </c>
      <c r="B22" s="26" t="s">
        <v>207</v>
      </c>
      <c r="C22" s="27" t="s">
        <v>208</v>
      </c>
      <c r="D22" s="28"/>
      <c r="E22" s="27" t="s">
        <v>209</v>
      </c>
      <c r="F22" s="28">
        <v>2</v>
      </c>
      <c r="G22" s="29" t="str">
        <f>IF(OR(D22="",F22=""),"chưa rõ",IF(F22&gt;D22,"FRACILE",IF(D22&gt;F22,"Vivoire","hoà")))</f>
        <v>chưa rõ</v>
      </c>
      <c r="H22" s="25" t="s">
        <v>210</v>
      </c>
      <c r="I22" s="30" t="s">
        <v>211</v>
      </c>
    </row>
    <row r="23" ht="44" customHeight="1" spans="1:9" x14ac:dyDescent="0.25">
      <c r="A23" s="25" t="s">
        <v>14</v>
      </c>
      <c r="B23" s="26" t="s">
        <v>212</v>
      </c>
      <c r="C23" s="27" t="s">
        <v>131</v>
      </c>
      <c r="D23" s="28">
        <v>0</v>
      </c>
      <c r="E23" s="27" t="s">
        <v>213</v>
      </c>
      <c r="F23" s="28">
        <v>2</v>
      </c>
      <c r="G23" s="29" t="str">
        <f>IF(OR(D23="",F23=""),"chưa rõ",IF(F23&gt;D23,"FRACILE",IF(D23&gt;F23,"Vivoire","hoà")))</f>
        <v>FRACILE</v>
      </c>
      <c r="H23" s="25" t="s">
        <v>128</v>
      </c>
      <c r="I23" s="30" t="s">
        <v>214</v>
      </c>
    </row>
    <row r="24" ht="44" customHeight="1" spans="1:9" x14ac:dyDescent="0.25">
      <c r="A24" s="19" t="s">
        <v>14</v>
      </c>
      <c r="B24" s="20" t="s">
        <v>215</v>
      </c>
      <c r="C24" s="21" t="s">
        <v>216</v>
      </c>
      <c r="D24" s="22">
        <v>2</v>
      </c>
      <c r="E24" s="21" t="s">
        <v>217</v>
      </c>
      <c r="F24" s="22">
        <v>2</v>
      </c>
      <c r="G24" s="23" t="str">
        <f>IF(OR(D24="",F24=""),"chưa rõ",IF(F24&gt;D24,"FRACILE",IF(D24&gt;F24,"Vivoire","hoà")))</f>
        <v>hoà</v>
      </c>
      <c r="H24" s="19" t="s">
        <v>128</v>
      </c>
      <c r="I24" s="24" t="s">
        <v>218</v>
      </c>
    </row>
    <row r="25" ht="44" customHeight="1" spans="1:9" x14ac:dyDescent="0.25">
      <c r="A25" s="25" t="s">
        <v>14</v>
      </c>
      <c r="B25" s="26" t="s">
        <v>219</v>
      </c>
      <c r="C25" s="27" t="s">
        <v>131</v>
      </c>
      <c r="D25" s="28">
        <v>0</v>
      </c>
      <c r="E25" s="27" t="s">
        <v>220</v>
      </c>
      <c r="F25" s="28">
        <v>2</v>
      </c>
      <c r="G25" s="29" t="str">
        <f>IF(OR(D25="",F25=""),"chưa rõ",IF(F25&gt;D25,"FRACILE",IF(D25&gt;F25,"Vivoire","hoà")))</f>
        <v>FRACILE</v>
      </c>
      <c r="H25" s="25" t="s">
        <v>221</v>
      </c>
      <c r="I25" s="30" t="s">
        <v>222</v>
      </c>
    </row>
    <row r="26" ht="44" customHeight="1" spans="1:9" x14ac:dyDescent="0.25">
      <c r="A26" s="19" t="s">
        <v>14</v>
      </c>
      <c r="B26" s="20" t="s">
        <v>223</v>
      </c>
      <c r="C26" s="21" t="s">
        <v>224</v>
      </c>
      <c r="D26" s="22">
        <v>2</v>
      </c>
      <c r="E26" s="21" t="s">
        <v>225</v>
      </c>
      <c r="F26" s="22">
        <v>2</v>
      </c>
      <c r="G26" s="23" t="str">
        <f>IF(OR(D26="",F26=""),"chưa rõ",IF(F26&gt;D26,"FRACILE",IF(D26&gt;F26,"Vivoire","hoà")))</f>
        <v>hoà</v>
      </c>
      <c r="H26" s="19" t="s">
        <v>226</v>
      </c>
      <c r="I26" s="24" t="s">
        <v>227</v>
      </c>
    </row>
    <row r="27" ht="44" customHeight="1" spans="1:9" x14ac:dyDescent="0.25">
      <c r="A27" s="19" t="s">
        <v>14</v>
      </c>
      <c r="B27" s="20" t="s">
        <v>228</v>
      </c>
      <c r="C27" s="21" t="s">
        <v>229</v>
      </c>
      <c r="D27" s="22">
        <v>2</v>
      </c>
      <c r="E27" s="21" t="s">
        <v>230</v>
      </c>
      <c r="F27" s="22">
        <v>2</v>
      </c>
      <c r="G27" s="23" t="str">
        <f>IF(OR(D27="",F27=""),"chưa rõ",IF(F27&gt;D27,"FRACILE",IF(D27&gt;F27,"Vivoire","hoà")))</f>
        <v>hoà</v>
      </c>
      <c r="H27" s="19" t="s">
        <v>231</v>
      </c>
      <c r="I27" s="24" t="s">
        <v>232</v>
      </c>
    </row>
    <row r="28" ht="44" customHeight="1" spans="1:9" x14ac:dyDescent="0.25">
      <c r="A28" s="19" t="s">
        <v>14</v>
      </c>
      <c r="B28" s="20" t="s">
        <v>233</v>
      </c>
      <c r="C28" s="21" t="s">
        <v>234</v>
      </c>
      <c r="D28" s="22">
        <v>2</v>
      </c>
      <c r="E28" s="21" t="s">
        <v>235</v>
      </c>
      <c r="F28" s="22">
        <v>2</v>
      </c>
      <c r="G28" s="23" t="str">
        <f>IF(OR(D28="",F28=""),"chưa rõ",IF(F28&gt;D28,"FRACILE",IF(D28&gt;F28,"Vivoire","hoà")))</f>
        <v>hoà</v>
      </c>
      <c r="H28" s="19" t="s">
        <v>236</v>
      </c>
      <c r="I28" s="24" t="s">
        <v>237</v>
      </c>
    </row>
    <row r="29" ht="44" customHeight="1" spans="1:9" x14ac:dyDescent="0.25">
      <c r="A29" s="25" t="s">
        <v>14</v>
      </c>
      <c r="B29" s="26" t="s">
        <v>238</v>
      </c>
      <c r="C29" s="27" t="s">
        <v>131</v>
      </c>
      <c r="D29" s="28">
        <v>0</v>
      </c>
      <c r="E29" s="27" t="s">
        <v>239</v>
      </c>
      <c r="F29" s="28">
        <v>2</v>
      </c>
      <c r="G29" s="29" t="str">
        <f>IF(OR(D29="",F29=""),"chưa rõ",IF(F29&gt;D29,"FRACILE",IF(D29&gt;F29,"Vivoire","hoà")))</f>
        <v>FRACILE</v>
      </c>
      <c r="H29" s="25" t="s">
        <v>128</v>
      </c>
      <c r="I29" s="30" t="s">
        <v>240</v>
      </c>
    </row>
    <row r="30" ht="44" customHeight="1" spans="1:9" x14ac:dyDescent="0.25">
      <c r="A30" s="19" t="s">
        <v>14</v>
      </c>
      <c r="B30" s="20" t="s">
        <v>241</v>
      </c>
      <c r="C30" s="21" t="s">
        <v>242</v>
      </c>
      <c r="D30" s="22">
        <v>2</v>
      </c>
      <c r="E30" s="21" t="s">
        <v>243</v>
      </c>
      <c r="F30" s="22">
        <v>2</v>
      </c>
      <c r="G30" s="23" t="str">
        <f>IF(OR(D30="",F30=""),"chưa rõ",IF(F30&gt;D30,"FRACILE",IF(D30&gt;F30,"Vivoire","hoà")))</f>
        <v>hoà</v>
      </c>
      <c r="H30" s="19" t="s">
        <v>128</v>
      </c>
      <c r="I30" s="24" t="s">
        <v>244</v>
      </c>
    </row>
    <row r="31" ht="44" customHeight="1" spans="1:9" x14ac:dyDescent="0.25">
      <c r="A31" s="25" t="s">
        <v>15</v>
      </c>
      <c r="B31" s="26" t="s">
        <v>245</v>
      </c>
      <c r="C31" s="27" t="s">
        <v>131</v>
      </c>
      <c r="D31" s="28">
        <v>0</v>
      </c>
      <c r="E31" s="27" t="s">
        <v>246</v>
      </c>
      <c r="F31" s="28">
        <v>2</v>
      </c>
      <c r="G31" s="29" t="str">
        <f>IF(OR(D31="",F31=""),"chưa rõ",IF(F31&gt;D31,"FRACILE",IF(D31&gt;F31,"Vivoire","hoà")))</f>
        <v>FRACILE</v>
      </c>
      <c r="H31" s="25" t="s">
        <v>128</v>
      </c>
      <c r="I31" s="30" t="s">
        <v>247</v>
      </c>
    </row>
    <row r="32" ht="44" customHeight="1" spans="1:9" x14ac:dyDescent="0.25">
      <c r="A32" s="25" t="s">
        <v>15</v>
      </c>
      <c r="B32" s="26" t="s">
        <v>248</v>
      </c>
      <c r="C32" s="27" t="s">
        <v>131</v>
      </c>
      <c r="D32" s="28">
        <v>0</v>
      </c>
      <c r="E32" s="27" t="s">
        <v>249</v>
      </c>
      <c r="F32" s="28">
        <v>2</v>
      </c>
      <c r="G32" s="29" t="str">
        <f>IF(OR(D32="",F32=""),"chưa rõ",IF(F32&gt;D32,"FRACILE",IF(D32&gt;F32,"Vivoire","hoà")))</f>
        <v>FRACILE</v>
      </c>
      <c r="H32" s="25" t="s">
        <v>250</v>
      </c>
      <c r="I32" s="30" t="s">
        <v>251</v>
      </c>
    </row>
    <row r="33" ht="44" customHeight="1" spans="1:9" x14ac:dyDescent="0.25">
      <c r="A33" s="25" t="s">
        <v>15</v>
      </c>
      <c r="B33" s="26" t="s">
        <v>252</v>
      </c>
      <c r="C33" s="27" t="s">
        <v>131</v>
      </c>
      <c r="D33" s="28">
        <v>0</v>
      </c>
      <c r="E33" s="27" t="s">
        <v>253</v>
      </c>
      <c r="F33" s="28">
        <v>2</v>
      </c>
      <c r="G33" s="29" t="str">
        <f>IF(OR(D33="",F33=""),"chưa rõ",IF(F33&gt;D33,"FRACILE",IF(D33&gt;F33,"Vivoire","hoà")))</f>
        <v>FRACILE</v>
      </c>
      <c r="H33" s="25" t="s">
        <v>250</v>
      </c>
      <c r="I33" s="30" t="s">
        <v>254</v>
      </c>
    </row>
    <row r="34" ht="44" customHeight="1" spans="1:9" x14ac:dyDescent="0.25">
      <c r="A34" s="25" t="s">
        <v>15</v>
      </c>
      <c r="B34" s="26" t="s">
        <v>255</v>
      </c>
      <c r="C34" s="27" t="s">
        <v>131</v>
      </c>
      <c r="D34" s="28">
        <v>0</v>
      </c>
      <c r="E34" s="27" t="s">
        <v>256</v>
      </c>
      <c r="F34" s="28">
        <v>2</v>
      </c>
      <c r="G34" s="29" t="str">
        <f>IF(OR(D34="",F34=""),"chưa rõ",IF(F34&gt;D34,"FRACILE",IF(D34&gt;F34,"Vivoire","hoà")))</f>
        <v>FRACILE</v>
      </c>
      <c r="H34" s="25" t="s">
        <v>250</v>
      </c>
      <c r="I34" s="30" t="s">
        <v>257</v>
      </c>
    </row>
    <row r="35" ht="44" customHeight="1" spans="1:9" x14ac:dyDescent="0.25">
      <c r="A35" s="25" t="s">
        <v>15</v>
      </c>
      <c r="B35" s="26" t="s">
        <v>258</v>
      </c>
      <c r="C35" s="27" t="s">
        <v>131</v>
      </c>
      <c r="D35" s="28">
        <v>0</v>
      </c>
      <c r="E35" s="27" t="s">
        <v>259</v>
      </c>
      <c r="F35" s="28">
        <v>2</v>
      </c>
      <c r="G35" s="29" t="str">
        <f>IF(OR(D35="",F35=""),"chưa rõ",IF(F35&gt;D35,"FRACILE",IF(D35&gt;F35,"Vivoire","hoà")))</f>
        <v>FRACILE</v>
      </c>
      <c r="H35" s="25" t="s">
        <v>260</v>
      </c>
      <c r="I35" s="30" t="s">
        <v>261</v>
      </c>
    </row>
    <row r="36" ht="44" customHeight="1" spans="1:9" x14ac:dyDescent="0.25">
      <c r="A36" s="19" t="s">
        <v>15</v>
      </c>
      <c r="B36" s="20" t="s">
        <v>262</v>
      </c>
      <c r="C36" s="21" t="s">
        <v>173</v>
      </c>
      <c r="D36" s="22">
        <v>2</v>
      </c>
      <c r="E36" s="21" t="s">
        <v>173</v>
      </c>
      <c r="F36" s="22">
        <v>2</v>
      </c>
      <c r="G36" s="23" t="str">
        <f>IF(OR(D36="",F36=""),"chưa rõ",IF(F36&gt;D36,"FRACILE",IF(D36&gt;F36,"Vivoire","hoà")))</f>
        <v>hoà</v>
      </c>
      <c r="H36" s="19" t="s">
        <v>250</v>
      </c>
      <c r="I36" s="24" t="s">
        <v>263</v>
      </c>
    </row>
    <row r="37" ht="44" customHeight="1" spans="1:9" x14ac:dyDescent="0.25">
      <c r="A37" s="19" t="s">
        <v>15</v>
      </c>
      <c r="B37" s="20" t="s">
        <v>264</v>
      </c>
      <c r="C37" s="21" t="s">
        <v>265</v>
      </c>
      <c r="D37" s="22">
        <v>2</v>
      </c>
      <c r="E37" s="21" t="s">
        <v>266</v>
      </c>
      <c r="F37" s="22">
        <v>1</v>
      </c>
      <c r="G37" s="23" t="str">
        <f>IF(OR(D37="",F37=""),"chưa rõ",IF(F37&gt;D37,"FRACILE",IF(D37&gt;F37,"Vivoire","hoà")))</f>
        <v>Vivoire</v>
      </c>
      <c r="H37" s="19" t="s">
        <v>267</v>
      </c>
      <c r="I37" s="24" t="s">
        <v>268</v>
      </c>
    </row>
    <row r="38" ht="44" customHeight="1" spans="1:9" x14ac:dyDescent="0.25">
      <c r="A38" s="19" t="s">
        <v>15</v>
      </c>
      <c r="B38" s="20" t="s">
        <v>269</v>
      </c>
      <c r="C38" s="21" t="s">
        <v>173</v>
      </c>
      <c r="D38" s="22">
        <v>2</v>
      </c>
      <c r="E38" s="21" t="s">
        <v>270</v>
      </c>
      <c r="F38" s="22">
        <v>2</v>
      </c>
      <c r="G38" s="23" t="str">
        <f>IF(OR(D38="",F38=""),"chưa rõ",IF(F38&gt;D38,"FRACILE",IF(D38&gt;F38,"Vivoire","hoà")))</f>
        <v>hoà</v>
      </c>
      <c r="H38" s="19" t="s">
        <v>250</v>
      </c>
      <c r="I38" s="24" t="s">
        <v>271</v>
      </c>
    </row>
    <row r="39" ht="44" customHeight="1" spans="1:9" x14ac:dyDescent="0.25">
      <c r="A39" s="31" t="s">
        <v>15</v>
      </c>
      <c r="B39" s="32" t="s">
        <v>272</v>
      </c>
      <c r="C39" s="33" t="s">
        <v>273</v>
      </c>
      <c r="D39" s="34">
        <v>2</v>
      </c>
      <c r="E39" s="33" t="s">
        <v>274</v>
      </c>
      <c r="F39" s="34">
        <v>0</v>
      </c>
      <c r="G39" s="35" t="str">
        <f>IF(OR(D39="",F39=""),"chưa rõ",IF(F39&gt;D39,"FRACILE",IF(D39&gt;F39,"Vivoire","hoà")))</f>
        <v>Vivoire</v>
      </c>
      <c r="H39" s="31" t="s">
        <v>151</v>
      </c>
      <c r="I39" s="36" t="s">
        <v>275</v>
      </c>
    </row>
    <row r="40" ht="44" customHeight="1" spans="1:9" x14ac:dyDescent="0.25">
      <c r="A40" s="19" t="s">
        <v>15</v>
      </c>
      <c r="B40" s="20" t="s">
        <v>276</v>
      </c>
      <c r="C40" s="21" t="s">
        <v>191</v>
      </c>
      <c r="D40" s="22"/>
      <c r="E40" s="21" t="s">
        <v>277</v>
      </c>
      <c r="F40" s="22">
        <v>1</v>
      </c>
      <c r="G40" s="23" t="str">
        <f>IF(OR(D40="",F40=""),"chưa rõ",IF(F40&gt;D40,"FRACILE",IF(D40&gt;F40,"Vivoire","hoà")))</f>
        <v>chưa rõ</v>
      </c>
      <c r="H40" s="19" t="s">
        <v>128</v>
      </c>
      <c r="I40" s="24" t="s">
        <v>278</v>
      </c>
    </row>
    <row r="41" ht="44" customHeight="1" spans="1:9" x14ac:dyDescent="0.25">
      <c r="A41" s="31" t="s">
        <v>15</v>
      </c>
      <c r="B41" s="32" t="s">
        <v>279</v>
      </c>
      <c r="C41" s="33" t="s">
        <v>131</v>
      </c>
      <c r="D41" s="34">
        <v>0</v>
      </c>
      <c r="E41" s="33" t="s">
        <v>280</v>
      </c>
      <c r="F41" s="34">
        <v>0</v>
      </c>
      <c r="G41" s="35" t="str">
        <f>IF(OR(D41="",F41=""),"chưa rõ",IF(F41&gt;D41,"FRACILE",IF(D41&gt;F41,"Vivoire","hoà")))</f>
        <v>hoà</v>
      </c>
      <c r="H41" s="31" t="s">
        <v>151</v>
      </c>
      <c r="I41" s="36" t="s">
        <v>281</v>
      </c>
    </row>
    <row r="42" ht="44" customHeight="1" spans="1:9" x14ac:dyDescent="0.25">
      <c r="A42" s="25" t="s">
        <v>15</v>
      </c>
      <c r="B42" s="26" t="s">
        <v>282</v>
      </c>
      <c r="C42" s="27" t="s">
        <v>131</v>
      </c>
      <c r="D42" s="28">
        <v>0</v>
      </c>
      <c r="E42" s="27" t="s">
        <v>283</v>
      </c>
      <c r="F42" s="28">
        <v>2</v>
      </c>
      <c r="G42" s="29" t="str">
        <f>IF(OR(D42="",F42=""),"chưa rõ",IF(F42&gt;D42,"FRACILE",IF(D42&gt;F42,"Vivoire","hoà")))</f>
        <v>FRACILE</v>
      </c>
      <c r="H42" s="25" t="s">
        <v>284</v>
      </c>
      <c r="I42" s="30" t="s">
        <v>285</v>
      </c>
    </row>
    <row r="43" ht="44" customHeight="1" spans="1:9" x14ac:dyDescent="0.25">
      <c r="A43" s="25" t="s">
        <v>15</v>
      </c>
      <c r="B43" s="26" t="s">
        <v>286</v>
      </c>
      <c r="C43" s="27" t="s">
        <v>131</v>
      </c>
      <c r="D43" s="28">
        <v>0</v>
      </c>
      <c r="E43" s="27" t="s">
        <v>287</v>
      </c>
      <c r="F43" s="28">
        <v>2</v>
      </c>
      <c r="G43" s="29" t="str">
        <f>IF(OR(D43="",F43=""),"chưa rõ",IF(F43&gt;D43,"FRACILE",IF(D43&gt;F43,"Vivoire","hoà")))</f>
        <v>FRACILE</v>
      </c>
      <c r="H43" s="25" t="s">
        <v>288</v>
      </c>
      <c r="I43" s="30" t="s">
        <v>289</v>
      </c>
    </row>
    <row r="44" ht="44" customHeight="1" spans="1:9" x14ac:dyDescent="0.25">
      <c r="A44" s="19" t="s">
        <v>16</v>
      </c>
      <c r="B44" s="20" t="s">
        <v>290</v>
      </c>
      <c r="C44" s="21" t="s">
        <v>173</v>
      </c>
      <c r="D44" s="22">
        <v>2</v>
      </c>
      <c r="E44" s="21" t="s">
        <v>291</v>
      </c>
      <c r="F44" s="22">
        <v>2</v>
      </c>
      <c r="G44" s="23" t="str">
        <f>IF(OR(D44="",F44=""),"chưa rõ",IF(F44&gt;D44,"FRACILE",IF(D44&gt;F44,"Vivoire","hoà")))</f>
        <v>hoà</v>
      </c>
      <c r="H44" s="19" t="s">
        <v>128</v>
      </c>
      <c r="I44" s="24" t="s">
        <v>292</v>
      </c>
    </row>
    <row r="45" ht="44" customHeight="1" spans="1:9" x14ac:dyDescent="0.25">
      <c r="A45" s="19" t="s">
        <v>16</v>
      </c>
      <c r="B45" s="20" t="s">
        <v>293</v>
      </c>
      <c r="C45" s="21" t="s">
        <v>173</v>
      </c>
      <c r="D45" s="22">
        <v>2</v>
      </c>
      <c r="E45" s="21" t="s">
        <v>294</v>
      </c>
      <c r="F45" s="22">
        <v>1</v>
      </c>
      <c r="G45" s="23" t="str">
        <f>IF(OR(D45="",F45=""),"chưa rõ",IF(F45&gt;D45,"FRACILE",IF(D45&gt;F45,"Vivoire","hoà")))</f>
        <v>Vivoire</v>
      </c>
      <c r="H45" s="19" t="s">
        <v>128</v>
      </c>
      <c r="I45" s="24" t="s">
        <v>295</v>
      </c>
    </row>
    <row r="46" ht="44" customHeight="1" spans="1:9" x14ac:dyDescent="0.25">
      <c r="A46" s="25" t="s">
        <v>16</v>
      </c>
      <c r="B46" s="26" t="s">
        <v>296</v>
      </c>
      <c r="C46" s="27" t="s">
        <v>297</v>
      </c>
      <c r="D46" s="28">
        <v>1</v>
      </c>
      <c r="E46" s="27" t="s">
        <v>298</v>
      </c>
      <c r="F46" s="28">
        <v>2</v>
      </c>
      <c r="G46" s="29" t="str">
        <f>IF(OR(D46="",F46=""),"chưa rõ",IF(F46&gt;D46,"FRACILE",IF(D46&gt;F46,"Vivoire","hoà")))</f>
        <v>FRACILE</v>
      </c>
      <c r="H46" s="25" t="s">
        <v>299</v>
      </c>
      <c r="I46" s="30" t="s">
        <v>300</v>
      </c>
    </row>
    <row r="47" ht="44" customHeight="1" spans="1:9" x14ac:dyDescent="0.25">
      <c r="A47" s="25" t="s">
        <v>16</v>
      </c>
      <c r="B47" s="26" t="s">
        <v>301</v>
      </c>
      <c r="C47" s="27" t="s">
        <v>302</v>
      </c>
      <c r="D47" s="28"/>
      <c r="E47" s="27" t="s">
        <v>303</v>
      </c>
      <c r="F47" s="28">
        <v>2</v>
      </c>
      <c r="G47" s="29" t="str">
        <f>IF(OR(D47="",F47=""),"chưa rõ",IF(F47&gt;D47,"FRACILE",IF(D47&gt;F47,"Vivoire","hoà")))</f>
        <v>chưa rõ</v>
      </c>
      <c r="H47" s="25" t="s">
        <v>304</v>
      </c>
      <c r="I47" s="30" t="s">
        <v>305</v>
      </c>
    </row>
    <row r="48" ht="44" customHeight="1" spans="1:9" x14ac:dyDescent="0.25">
      <c r="A48" s="19" t="s">
        <v>17</v>
      </c>
      <c r="B48" s="20" t="s">
        <v>306</v>
      </c>
      <c r="C48" s="21" t="s">
        <v>173</v>
      </c>
      <c r="D48" s="22">
        <v>2</v>
      </c>
      <c r="E48" s="21" t="s">
        <v>307</v>
      </c>
      <c r="F48" s="22">
        <v>2</v>
      </c>
      <c r="G48" s="23" t="str">
        <f>IF(OR(D48="",F48=""),"chưa rõ",IF(F48&gt;D48,"FRACILE",IF(D48&gt;F48,"Vivoire","hoà")))</f>
        <v>hoà</v>
      </c>
      <c r="H48" s="19" t="s">
        <v>128</v>
      </c>
      <c r="I48" s="24" t="s">
        <v>308</v>
      </c>
    </row>
    <row r="49" ht="44" customHeight="1" spans="1:9" x14ac:dyDescent="0.25">
      <c r="A49" s="19" t="s">
        <v>17</v>
      </c>
      <c r="B49" s="20" t="s">
        <v>309</v>
      </c>
      <c r="C49" s="21" t="s">
        <v>173</v>
      </c>
      <c r="D49" s="22">
        <v>2</v>
      </c>
      <c r="E49" s="21" t="s">
        <v>310</v>
      </c>
      <c r="F49" s="22">
        <v>1</v>
      </c>
      <c r="G49" s="23" t="str">
        <f>IF(OR(D49="",F49=""),"chưa rõ",IF(F49&gt;D49,"FRACILE",IF(D49&gt;F49,"Vivoire","hoà")))</f>
        <v>Vivoire</v>
      </c>
      <c r="H49" s="19" t="s">
        <v>311</v>
      </c>
      <c r="I49" s="24" t="s">
        <v>312</v>
      </c>
    </row>
    <row r="50" ht="44" customHeight="1" spans="1:9" x14ac:dyDescent="0.25">
      <c r="A50" s="19" t="s">
        <v>17</v>
      </c>
      <c r="B50" s="20" t="s">
        <v>37</v>
      </c>
      <c r="C50" s="21" t="s">
        <v>173</v>
      </c>
      <c r="D50" s="22">
        <v>2</v>
      </c>
      <c r="E50" s="21" t="s">
        <v>313</v>
      </c>
      <c r="F50" s="22">
        <v>1</v>
      </c>
      <c r="G50" s="23" t="str">
        <f>IF(OR(D50="",F50=""),"chưa rõ",IF(F50&gt;D50,"FRACILE",IF(D50&gt;F50,"Vivoire","hoà")))</f>
        <v>Vivoire</v>
      </c>
      <c r="H50" s="19" t="s">
        <v>311</v>
      </c>
      <c r="I50" s="24" t="s">
        <v>314</v>
      </c>
    </row>
    <row r="51" ht="44" customHeight="1" spans="1:9" x14ac:dyDescent="0.25">
      <c r="A51" s="19" t="s">
        <v>17</v>
      </c>
      <c r="B51" s="20" t="s">
        <v>315</v>
      </c>
      <c r="C51" s="21" t="s">
        <v>316</v>
      </c>
      <c r="D51" s="22">
        <v>2</v>
      </c>
      <c r="E51" s="21" t="s">
        <v>317</v>
      </c>
      <c r="F51" s="22">
        <v>1</v>
      </c>
      <c r="G51" s="23" t="str">
        <f>IF(OR(D51="",F51=""),"chưa rõ",IF(F51&gt;D51,"FRACILE",IF(D51&gt;F51,"Vivoire","hoà")))</f>
        <v>Vivoire</v>
      </c>
      <c r="H51" s="19" t="s">
        <v>128</v>
      </c>
      <c r="I51" s="24" t="s">
        <v>318</v>
      </c>
    </row>
    <row r="52" ht="44" customHeight="1" spans="1:9" x14ac:dyDescent="0.25">
      <c r="A52" s="25" t="s">
        <v>17</v>
      </c>
      <c r="B52" s="26" t="s">
        <v>319</v>
      </c>
      <c r="C52" s="27" t="s">
        <v>320</v>
      </c>
      <c r="D52" s="28">
        <v>1</v>
      </c>
      <c r="E52" s="27" t="s">
        <v>321</v>
      </c>
      <c r="F52" s="28">
        <v>2</v>
      </c>
      <c r="G52" s="29" t="str">
        <f>IF(OR(D52="",F52=""),"chưa rõ",IF(F52&gt;D52,"FRACILE",IF(D52&gt;F52,"Vivoire","hoà")))</f>
        <v>FRACILE</v>
      </c>
      <c r="H52" s="25" t="s">
        <v>128</v>
      </c>
      <c r="I52" s="30" t="s">
        <v>322</v>
      </c>
    </row>
    <row r="53" ht="44" customHeight="1" spans="1:9" x14ac:dyDescent="0.25">
      <c r="A53" s="25" t="s">
        <v>17</v>
      </c>
      <c r="B53" s="26" t="s">
        <v>323</v>
      </c>
      <c r="C53" s="27" t="s">
        <v>131</v>
      </c>
      <c r="D53" s="28">
        <v>0</v>
      </c>
      <c r="E53" s="27" t="s">
        <v>324</v>
      </c>
      <c r="F53" s="28">
        <v>2</v>
      </c>
      <c r="G53" s="29" t="str">
        <f>IF(OR(D53="",F53=""),"chưa rõ",IF(F53&gt;D53,"FRACILE",IF(D53&gt;F53,"Vivoire","hoà")))</f>
        <v>FRACILE</v>
      </c>
      <c r="H53" s="25" t="s">
        <v>128</v>
      </c>
      <c r="I53" s="30" t="s">
        <v>325</v>
      </c>
    </row>
    <row r="54" ht="44" customHeight="1" spans="1:9" x14ac:dyDescent="0.25">
      <c r="A54" s="25" t="s">
        <v>12</v>
      </c>
      <c r="B54" s="26" t="s">
        <v>326</v>
      </c>
      <c r="C54" s="27" t="s">
        <v>131</v>
      </c>
      <c r="D54" s="28">
        <v>0</v>
      </c>
      <c r="E54" s="27" t="s">
        <v>327</v>
      </c>
      <c r="F54" s="28">
        <v>2</v>
      </c>
      <c r="G54" s="29" t="str">
        <f>IF(OR(D54="",F54=""),"chưa rõ",IF(F54&gt;D54,"FRACILE",IF(D54&gt;F54,"Vivoire","hoà")))</f>
        <v>FRACILE</v>
      </c>
      <c r="H54" s="25" t="s">
        <v>128</v>
      </c>
      <c r="I54" s="30" t="s">
        <v>328</v>
      </c>
    </row>
    <row r="55" ht="44" customHeight="1" spans="1:9" x14ac:dyDescent="0.25">
      <c r="A55" s="25" t="s">
        <v>13</v>
      </c>
      <c r="B55" s="26" t="s">
        <v>329</v>
      </c>
      <c r="C55" s="27" t="s">
        <v>131</v>
      </c>
      <c r="D55" s="28">
        <v>0</v>
      </c>
      <c r="E55" s="27" t="s">
        <v>330</v>
      </c>
      <c r="F55" s="28">
        <v>2</v>
      </c>
      <c r="G55" s="29" t="str">
        <f>IF(OR(D55="",F55=""),"chưa rõ",IF(F55&gt;D55,"FRACILE",IF(D55&gt;F55,"Vivoire","hoà")))</f>
        <v>FRACILE</v>
      </c>
      <c r="H55" s="25" t="s">
        <v>331</v>
      </c>
      <c r="I55" s="30" t="s">
        <v>332</v>
      </c>
    </row>
    <row r="56" ht="44" customHeight="1" spans="1:9" x14ac:dyDescent="0.25">
      <c r="A56" s="25" t="s">
        <v>15</v>
      </c>
      <c r="B56" s="26" t="s">
        <v>333</v>
      </c>
      <c r="C56" s="27" t="s">
        <v>131</v>
      </c>
      <c r="D56" s="28">
        <v>0</v>
      </c>
      <c r="E56" s="27" t="s">
        <v>334</v>
      </c>
      <c r="F56" s="28">
        <v>2</v>
      </c>
      <c r="G56" s="29" t="str">
        <f>IF(OR(D56="",F56=""),"chưa rõ",IF(F56&gt;D56,"FRACILE",IF(D56&gt;F56,"Vivoire","hoà")))</f>
        <v>FRACILE</v>
      </c>
      <c r="H56" s="25" t="s">
        <v>335</v>
      </c>
      <c r="I56" s="30" t="s">
        <v>336</v>
      </c>
    </row>
    <row r="57" ht="44" customHeight="1" spans="1:9" x14ac:dyDescent="0.25">
      <c r="A57" s="25" t="s">
        <v>14</v>
      </c>
      <c r="B57" s="26" t="s">
        <v>337</v>
      </c>
      <c r="C57" s="27" t="s">
        <v>131</v>
      </c>
      <c r="D57" s="28">
        <v>0</v>
      </c>
      <c r="E57" s="27" t="s">
        <v>338</v>
      </c>
      <c r="F57" s="28">
        <v>2</v>
      </c>
      <c r="G57" s="29" t="str">
        <f>IF(OR(D57="",F57=""),"chưa rõ",IF(F57&gt;D57,"FRACILE",IF(D57&gt;F57,"Vivoire","hoà")))</f>
        <v>FRACILE</v>
      </c>
      <c r="H57" s="25" t="s">
        <v>339</v>
      </c>
      <c r="I57" s="30" t="s">
        <v>340</v>
      </c>
    </row>
    <row r="58" ht="44" customHeight="1" spans="1:9" x14ac:dyDescent="0.25">
      <c r="A58" s="19" t="s">
        <v>13</v>
      </c>
      <c r="B58" s="20" t="s">
        <v>341</v>
      </c>
      <c r="C58" s="21" t="s">
        <v>342</v>
      </c>
      <c r="D58" s="22">
        <v>2</v>
      </c>
      <c r="E58" s="21" t="s">
        <v>343</v>
      </c>
      <c r="F58" s="22">
        <v>1</v>
      </c>
      <c r="G58" s="23" t="str">
        <f>IF(OR(D58="",F58=""),"chưa rõ",IF(F58&gt;D58,"FRACILE",IF(D58&gt;F58,"Vivoire","hoà")))</f>
        <v>Vivoire</v>
      </c>
      <c r="H58" s="19" t="s">
        <v>344</v>
      </c>
      <c r="I58" s="24" t="s">
        <v>345</v>
      </c>
    </row>
    <row r="59" ht="44" customHeight="1" spans="1:9" x14ac:dyDescent="0.25">
      <c r="A59" s="19" t="s">
        <v>13</v>
      </c>
      <c r="B59" s="20" t="s">
        <v>346</v>
      </c>
      <c r="C59" s="21" t="s">
        <v>347</v>
      </c>
      <c r="D59" s="22">
        <v>2</v>
      </c>
      <c r="E59" s="21" t="s">
        <v>348</v>
      </c>
      <c r="F59" s="22">
        <v>2</v>
      </c>
      <c r="G59" s="23" t="str">
        <f>IF(OR(D59="",F59=""),"chưa rõ",IF(F59&gt;D59,"FRACILE",IF(D59&gt;F59,"Vivoire","hoà")))</f>
        <v>hoà</v>
      </c>
      <c r="H59" s="19" t="s">
        <v>349</v>
      </c>
      <c r="I59" s="24" t="s">
        <v>350</v>
      </c>
    </row>
    <row r="60" ht="44" customHeight="1" spans="1:9" x14ac:dyDescent="0.25">
      <c r="A60" s="19" t="s">
        <v>13</v>
      </c>
      <c r="B60" s="20" t="s">
        <v>351</v>
      </c>
      <c r="C60" s="21" t="s">
        <v>352</v>
      </c>
      <c r="D60" s="22">
        <v>2</v>
      </c>
      <c r="E60" s="21" t="s">
        <v>353</v>
      </c>
      <c r="F60" s="22">
        <v>2</v>
      </c>
      <c r="G60" s="23" t="str">
        <f>IF(OR(D60="",F60=""),"chưa rõ",IF(F60&gt;D60,"FRACILE",IF(D60&gt;F60,"Vivoire","hoà")))</f>
        <v>hoà</v>
      </c>
      <c r="H60" s="19" t="s">
        <v>354</v>
      </c>
      <c r="I60" s="24" t="s">
        <v>355</v>
      </c>
    </row>
    <row r="61" ht="44" customHeight="1" spans="1:9" x14ac:dyDescent="0.25">
      <c r="A61" s="25" t="s">
        <v>14</v>
      </c>
      <c r="B61" s="26" t="s">
        <v>356</v>
      </c>
      <c r="C61" s="27" t="s">
        <v>357</v>
      </c>
      <c r="D61" s="28">
        <v>0</v>
      </c>
      <c r="E61" s="27" t="s">
        <v>358</v>
      </c>
      <c r="F61" s="28">
        <v>2</v>
      </c>
      <c r="G61" s="29" t="str">
        <f>IF(OR(D61="",F61=""),"chưa rõ",IF(F61&gt;D61,"FRACILE",IF(D61&gt;F61,"Vivoire","hoà")))</f>
        <v>FRACILE</v>
      </c>
      <c r="H61" s="25" t="s">
        <v>205</v>
      </c>
      <c r="I61" s="30" t="s">
        <v>359</v>
      </c>
    </row>
    <row r="62" ht="44" customHeight="1" spans="1:9" x14ac:dyDescent="0.25">
      <c r="A62" s="25" t="s">
        <v>14</v>
      </c>
      <c r="B62" s="26" t="s">
        <v>360</v>
      </c>
      <c r="C62" s="27" t="s">
        <v>361</v>
      </c>
      <c r="D62" s="28">
        <v>0</v>
      </c>
      <c r="E62" s="27" t="s">
        <v>362</v>
      </c>
      <c r="F62" s="28">
        <v>2</v>
      </c>
      <c r="G62" s="29" t="str">
        <f>IF(OR(D62="",F62=""),"chưa rõ",IF(F62&gt;D62,"FRACILE",IF(D62&gt;F62,"Vivoire","hoà")))</f>
        <v>FRACILE</v>
      </c>
      <c r="H62" s="25" t="s">
        <v>363</v>
      </c>
      <c r="I62" s="30" t="s">
        <v>364</v>
      </c>
    </row>
    <row r="63" ht="44" customHeight="1" spans="1:9" x14ac:dyDescent="0.25">
      <c r="A63" s="25" t="s">
        <v>14</v>
      </c>
      <c r="B63" s="26" t="s">
        <v>365</v>
      </c>
      <c r="C63" s="27" t="s">
        <v>366</v>
      </c>
      <c r="D63" s="28">
        <v>0</v>
      </c>
      <c r="E63" s="27" t="s">
        <v>367</v>
      </c>
      <c r="F63" s="28">
        <v>2</v>
      </c>
      <c r="G63" s="29" t="str">
        <f>IF(OR(D63="",F63=""),"chưa rõ",IF(F63&gt;D63,"FRACILE",IF(D63&gt;F63,"Vivoire","hoà")))</f>
        <v>FRACILE</v>
      </c>
      <c r="H63" s="25" t="s">
        <v>128</v>
      </c>
      <c r="I63" s="30" t="s">
        <v>368</v>
      </c>
    </row>
    <row r="64" ht="44" customHeight="1" spans="1:9" x14ac:dyDescent="0.25">
      <c r="A64" s="25" t="s">
        <v>14</v>
      </c>
      <c r="B64" s="26" t="s">
        <v>369</v>
      </c>
      <c r="C64" s="27" t="s">
        <v>366</v>
      </c>
      <c r="D64" s="28">
        <v>0</v>
      </c>
      <c r="E64" s="27" t="s">
        <v>370</v>
      </c>
      <c r="F64" s="28">
        <v>2</v>
      </c>
      <c r="G64" s="29" t="str">
        <f>IF(OR(D64="",F64=""),"chưa rõ",IF(F64&gt;D64,"FRACILE",IF(D64&gt;F64,"Vivoire","hoà")))</f>
        <v>FRACILE</v>
      </c>
      <c r="H64" s="25" t="s">
        <v>371</v>
      </c>
      <c r="I64" s="30" t="s">
        <v>372</v>
      </c>
    </row>
    <row r="65" ht="44" customHeight="1" spans="1:9" x14ac:dyDescent="0.25">
      <c r="A65" s="25" t="s">
        <v>14</v>
      </c>
      <c r="B65" s="26" t="s">
        <v>373</v>
      </c>
      <c r="C65" s="27" t="s">
        <v>366</v>
      </c>
      <c r="D65" s="28">
        <v>0</v>
      </c>
      <c r="E65" s="27" t="s">
        <v>374</v>
      </c>
      <c r="F65" s="28">
        <v>2</v>
      </c>
      <c r="G65" s="29" t="str">
        <f>IF(OR(D65="",F65=""),"chưa rõ",IF(F65&gt;D65,"FRACILE",IF(D65&gt;F65,"Vivoire","hoà")))</f>
        <v>FRACILE</v>
      </c>
      <c r="H65" s="25" t="s">
        <v>375</v>
      </c>
      <c r="I65" s="30" t="s">
        <v>376</v>
      </c>
    </row>
    <row r="66" ht="44" customHeight="1" spans="1:9" x14ac:dyDescent="0.25">
      <c r="A66" s="25" t="s">
        <v>14</v>
      </c>
      <c r="B66" s="26" t="s">
        <v>377</v>
      </c>
      <c r="C66" s="27" t="s">
        <v>131</v>
      </c>
      <c r="D66" s="28">
        <v>0</v>
      </c>
      <c r="E66" s="27" t="s">
        <v>378</v>
      </c>
      <c r="F66" s="28">
        <v>2</v>
      </c>
      <c r="G66" s="29" t="str">
        <f>IF(OR(D66="",F66=""),"chưa rõ",IF(F66&gt;D66,"FRACILE",IF(D66&gt;F66,"Vivoire","hoà")))</f>
        <v>FRACILE</v>
      </c>
      <c r="H66" s="25" t="s">
        <v>128</v>
      </c>
      <c r="I66" s="30" t="s">
        <v>379</v>
      </c>
    </row>
    <row r="67" ht="44" customHeight="1" spans="1:9" x14ac:dyDescent="0.25">
      <c r="A67" s="25" t="s">
        <v>12</v>
      </c>
      <c r="B67" s="26" t="s">
        <v>380</v>
      </c>
      <c r="C67" s="27" t="s">
        <v>131</v>
      </c>
      <c r="D67" s="28">
        <v>0</v>
      </c>
      <c r="E67" s="27" t="s">
        <v>381</v>
      </c>
      <c r="F67" s="28">
        <v>2</v>
      </c>
      <c r="G67" s="29" t="str">
        <f>IF(OR(D67="",F67=""),"chưa rõ",IF(F67&gt;D67,"FRACILE",IF(D67&gt;F67,"Vivoire","hoà")))</f>
        <v>FRACILE</v>
      </c>
      <c r="H67" s="25" t="s">
        <v>382</v>
      </c>
      <c r="I67" s="30" t="s">
        <v>383</v>
      </c>
    </row>
    <row r="68" ht="44" customHeight="1" spans="1:9" x14ac:dyDescent="0.25">
      <c r="A68" s="25" t="s">
        <v>12</v>
      </c>
      <c r="B68" s="26" t="s">
        <v>384</v>
      </c>
      <c r="C68" s="27" t="s">
        <v>131</v>
      </c>
      <c r="D68" s="28">
        <v>0</v>
      </c>
      <c r="E68" s="27" t="s">
        <v>385</v>
      </c>
      <c r="F68" s="28">
        <v>2</v>
      </c>
      <c r="G68" s="29" t="str">
        <f>IF(OR(D68="",F68=""),"chưa rõ",IF(F68&gt;D68,"FRACILE",IF(D68&gt;F68,"Vivoire","hoà")))</f>
        <v>FRACILE</v>
      </c>
      <c r="H68" s="25" t="s">
        <v>386</v>
      </c>
      <c r="I68" s="30" t="s">
        <v>387</v>
      </c>
    </row>
    <row r="69" ht="44" customHeight="1" spans="1:9" x14ac:dyDescent="0.25">
      <c r="A69" s="25" t="s">
        <v>12</v>
      </c>
      <c r="B69" s="26" t="s">
        <v>388</v>
      </c>
      <c r="C69" s="27" t="s">
        <v>131</v>
      </c>
      <c r="D69" s="28">
        <v>0</v>
      </c>
      <c r="E69" s="27" t="s">
        <v>389</v>
      </c>
      <c r="F69" s="28">
        <v>2</v>
      </c>
      <c r="G69" s="29" t="str">
        <f>IF(OR(D69="",F69=""),"chưa rõ",IF(F69&gt;D69,"FRACILE",IF(D69&gt;F69,"Vivoire","hoà")))</f>
        <v>FRACILE</v>
      </c>
      <c r="H69" s="25" t="s">
        <v>128</v>
      </c>
      <c r="I69" s="30" t="s">
        <v>390</v>
      </c>
    </row>
    <row r="70" ht="44" customHeight="1" spans="1:9" x14ac:dyDescent="0.25">
      <c r="A70" s="25" t="s">
        <v>14</v>
      </c>
      <c r="B70" s="26" t="s">
        <v>391</v>
      </c>
      <c r="C70" s="27" t="s">
        <v>131</v>
      </c>
      <c r="D70" s="28">
        <v>0</v>
      </c>
      <c r="E70" s="27" t="s">
        <v>392</v>
      </c>
      <c r="F70" s="28">
        <v>2</v>
      </c>
      <c r="G70" s="29" t="str">
        <f>IF(OR(D70="",F70=""),"chưa rõ",IF(F70&gt;D70,"FRACILE",IF(D70&gt;F70,"Vivoire","hoà")))</f>
        <v>FRACILE</v>
      </c>
      <c r="H70" s="25" t="s">
        <v>128</v>
      </c>
      <c r="I70" s="30" t="s">
        <v>393</v>
      </c>
    </row>
    <row r="71" ht="44" customHeight="1" spans="1:9" x14ac:dyDescent="0.25">
      <c r="A71" s="25" t="s">
        <v>15</v>
      </c>
      <c r="B71" s="26" t="s">
        <v>394</v>
      </c>
      <c r="C71" s="27" t="s">
        <v>131</v>
      </c>
      <c r="D71" s="28">
        <v>0</v>
      </c>
      <c r="E71" s="27" t="s">
        <v>395</v>
      </c>
      <c r="F71" s="28">
        <v>2</v>
      </c>
      <c r="G71" s="29" t="str">
        <f>IF(OR(D71="",F71=""),"chưa rõ",IF(F71&gt;D71,"FRACILE",IF(D71&gt;F71,"Vivoire","hoà")))</f>
        <v>FRACILE</v>
      </c>
      <c r="H71" s="25" t="s">
        <v>396</v>
      </c>
      <c r="I71" s="30" t="s">
        <v>397</v>
      </c>
    </row>
    <row r="72" ht="44" customHeight="1" spans="1:9" x14ac:dyDescent="0.25">
      <c r="A72" s="25" t="s">
        <v>15</v>
      </c>
      <c r="B72" s="26" t="s">
        <v>398</v>
      </c>
      <c r="C72" s="27" t="s">
        <v>131</v>
      </c>
      <c r="D72" s="28">
        <v>0</v>
      </c>
      <c r="E72" s="27" t="s">
        <v>399</v>
      </c>
      <c r="F72" s="28">
        <v>2</v>
      </c>
      <c r="G72" s="29" t="str">
        <f>IF(OR(D72="",F72=""),"chưa rõ",IF(F72&gt;D72,"FRACILE",IF(D72&gt;F72,"Vivoire","hoà")))</f>
        <v>FRACILE</v>
      </c>
      <c r="H72" s="25" t="s">
        <v>128</v>
      </c>
      <c r="I72" s="30" t="s">
        <v>400</v>
      </c>
    </row>
    <row r="73" ht="44" customHeight="1" spans="1:9" x14ac:dyDescent="0.25">
      <c r="A73" s="25" t="s">
        <v>17</v>
      </c>
      <c r="B73" s="26" t="s">
        <v>401</v>
      </c>
      <c r="C73" s="27" t="s">
        <v>131</v>
      </c>
      <c r="D73" s="28">
        <v>0</v>
      </c>
      <c r="E73" s="27" t="s">
        <v>402</v>
      </c>
      <c r="F73" s="28">
        <v>2</v>
      </c>
      <c r="G73" s="29" t="str">
        <f>IF(OR(D73="",F73=""),"chưa rõ",IF(F73&gt;D73,"FRACILE",IF(D73&gt;F73,"Vivoire","hoà")))</f>
        <v>FRACILE</v>
      </c>
      <c r="H73" s="25" t="s">
        <v>403</v>
      </c>
      <c r="I73" s="30" t="s">
        <v>404</v>
      </c>
    </row>
    <row r="74" ht="44" customHeight="1" spans="1:9" x14ac:dyDescent="0.25">
      <c r="A74" s="25" t="s">
        <v>12</v>
      </c>
      <c r="B74" s="26" t="s">
        <v>405</v>
      </c>
      <c r="C74" s="27" t="s">
        <v>131</v>
      </c>
      <c r="D74" s="28">
        <v>0</v>
      </c>
      <c r="E74" s="27" t="s">
        <v>406</v>
      </c>
      <c r="F74" s="28">
        <v>2</v>
      </c>
      <c r="G74" s="29" t="str">
        <f>IF(OR(D74="",F74=""),"chưa rõ",IF(F74&gt;D74,"FRACILE",IF(D74&gt;F74,"Vivoire","hoà")))</f>
        <v>FRACILE</v>
      </c>
      <c r="H74" s="25" t="s">
        <v>128</v>
      </c>
      <c r="I74" s="30" t="s">
        <v>407</v>
      </c>
    </row>
    <row r="75" ht="44" customHeight="1" spans="1:9" x14ac:dyDescent="0.25">
      <c r="A75" s="25" t="s">
        <v>11</v>
      </c>
      <c r="B75" s="26" t="s">
        <v>408</v>
      </c>
      <c r="C75" s="27" t="s">
        <v>131</v>
      </c>
      <c r="D75" s="28">
        <v>0</v>
      </c>
      <c r="E75" s="27" t="s">
        <v>409</v>
      </c>
      <c r="F75" s="28">
        <v>2</v>
      </c>
      <c r="G75" s="29" t="str">
        <f>IF(OR(D75="",F75=""),"chưa rõ",IF(F75&gt;D75,"FRACILE",IF(D75&gt;F75,"Vivoire","hoà")))</f>
        <v>FRACILE</v>
      </c>
      <c r="H75" s="25" t="s">
        <v>410</v>
      </c>
      <c r="I75" s="30" t="s">
        <v>411</v>
      </c>
    </row>
    <row r="76" ht="44" customHeight="1" spans="1:9" x14ac:dyDescent="0.25">
      <c r="A76" s="25" t="s">
        <v>14</v>
      </c>
      <c r="B76" s="26" t="s">
        <v>412</v>
      </c>
      <c r="C76" s="27" t="s">
        <v>131</v>
      </c>
      <c r="D76" s="28">
        <v>0</v>
      </c>
      <c r="E76" s="27" t="s">
        <v>413</v>
      </c>
      <c r="F76" s="28">
        <v>2</v>
      </c>
      <c r="G76" s="29" t="str">
        <f>IF(OR(D76="",F76=""),"chưa rõ",IF(F76&gt;D76,"FRACILE",IF(D76&gt;F76,"Vivoire","hoà")))</f>
        <v>FRACILE</v>
      </c>
      <c r="H76" s="25" t="s">
        <v>128</v>
      </c>
      <c r="I76" s="30" t="s">
        <v>414</v>
      </c>
    </row>
    <row r="77" ht="44" customHeight="1" spans="1:9" x14ac:dyDescent="0.25">
      <c r="A77" s="19" t="s">
        <v>14</v>
      </c>
      <c r="B77" s="20" t="s">
        <v>415</v>
      </c>
      <c r="C77" s="21" t="s">
        <v>131</v>
      </c>
      <c r="D77" s="22">
        <v>0</v>
      </c>
      <c r="E77" s="21" t="s">
        <v>416</v>
      </c>
      <c r="F77" s="22">
        <v>1</v>
      </c>
      <c r="G77" s="23" t="str">
        <f>IF(OR(D77="",F77=""),"chưa rõ",IF(F77&gt;D77,"FRACILE",IF(D77&gt;F77,"Vivoire","hoà")))</f>
        <v>FRACILE</v>
      </c>
      <c r="H77" s="19" t="s">
        <v>417</v>
      </c>
      <c r="I77" s="24" t="s">
        <v>418</v>
      </c>
    </row>
    <row r="78" ht="44" customHeight="1" spans="1:9" x14ac:dyDescent="0.25">
      <c r="A78" s="25" t="s">
        <v>14</v>
      </c>
      <c r="B78" s="26" t="s">
        <v>419</v>
      </c>
      <c r="C78" s="27" t="s">
        <v>131</v>
      </c>
      <c r="D78" s="28">
        <v>0</v>
      </c>
      <c r="E78" s="27" t="s">
        <v>420</v>
      </c>
      <c r="F78" s="28">
        <v>2</v>
      </c>
      <c r="G78" s="29" t="str">
        <f>IF(OR(D78="",F78=""),"chưa rõ",IF(F78&gt;D78,"FRACILE",IF(D78&gt;F78,"Vivoire","hoà")))</f>
        <v>FRACILE</v>
      </c>
      <c r="H78" s="25" t="s">
        <v>128</v>
      </c>
      <c r="I78" s="30" t="s">
        <v>421</v>
      </c>
    </row>
    <row r="79" ht="44" customHeight="1" spans="1:9" x14ac:dyDescent="0.25">
      <c r="A79" s="25" t="s">
        <v>14</v>
      </c>
      <c r="B79" s="26" t="s">
        <v>422</v>
      </c>
      <c r="C79" s="27" t="s">
        <v>131</v>
      </c>
      <c r="D79" s="28">
        <v>0</v>
      </c>
      <c r="E79" s="27" t="s">
        <v>423</v>
      </c>
      <c r="F79" s="28">
        <v>2</v>
      </c>
      <c r="G79" s="29" t="str">
        <f>IF(OR(D79="",F79=""),"chưa rõ",IF(F79&gt;D79,"FRACILE",IF(D79&gt;F79,"Vivoire","hoà")))</f>
        <v>FRACILE</v>
      </c>
      <c r="H79" s="25" t="s">
        <v>424</v>
      </c>
      <c r="I79" s="30" t="s">
        <v>425</v>
      </c>
    </row>
    <row r="80" ht="44" customHeight="1" spans="1:9" x14ac:dyDescent="0.25">
      <c r="A80" s="25" t="s">
        <v>14</v>
      </c>
      <c r="B80" s="26" t="s">
        <v>426</v>
      </c>
      <c r="C80" s="27" t="s">
        <v>131</v>
      </c>
      <c r="D80" s="28">
        <v>0</v>
      </c>
      <c r="E80" s="27" t="s">
        <v>427</v>
      </c>
      <c r="F80" s="28">
        <v>2</v>
      </c>
      <c r="G80" s="29" t="str">
        <f>IF(OR(D80="",F80=""),"chưa rõ",IF(F80&gt;D80,"FRACILE",IF(D80&gt;F80,"Vivoire","hoà")))</f>
        <v>FRACILE</v>
      </c>
      <c r="H80" s="25" t="s">
        <v>128</v>
      </c>
      <c r="I80" s="30" t="s">
        <v>428</v>
      </c>
    </row>
    <row r="81" ht="44" customHeight="1" spans="1:9" x14ac:dyDescent="0.25">
      <c r="A81" s="25" t="s">
        <v>14</v>
      </c>
      <c r="B81" s="26" t="s">
        <v>429</v>
      </c>
      <c r="C81" s="27" t="s">
        <v>430</v>
      </c>
      <c r="D81" s="28"/>
      <c r="E81" s="27" t="s">
        <v>431</v>
      </c>
      <c r="F81" s="28">
        <v>2</v>
      </c>
      <c r="G81" s="29" t="str">
        <f>IF(OR(D81="",F81=""),"chưa rõ",IF(F81&gt;D81,"FRACILE",IF(D81&gt;F81,"Vivoire","hoà")))</f>
        <v>chưa rõ</v>
      </c>
      <c r="H81" s="25" t="s">
        <v>128</v>
      </c>
      <c r="I81" s="30" t="s">
        <v>432</v>
      </c>
    </row>
    <row r="82" ht="44" customHeight="1" spans="1:9" x14ac:dyDescent="0.25">
      <c r="A82" s="25" t="s">
        <v>17</v>
      </c>
      <c r="B82" s="26" t="s">
        <v>433</v>
      </c>
      <c r="C82" s="27" t="s">
        <v>430</v>
      </c>
      <c r="D82" s="28"/>
      <c r="E82" s="27" t="s">
        <v>434</v>
      </c>
      <c r="F82" s="28">
        <v>2</v>
      </c>
      <c r="G82" s="29" t="str">
        <f>IF(OR(D82="",F82=""),"chưa rõ",IF(F82&gt;D82,"FRACILE",IF(D82&gt;F82,"Vivoire","hoà")))</f>
        <v>chưa rõ</v>
      </c>
      <c r="H82" s="25" t="s">
        <v>128</v>
      </c>
      <c r="I82" s="30" t="s">
        <v>435</v>
      </c>
    </row>
    <row r="83" ht="44" customHeight="1" spans="1:9" x14ac:dyDescent="0.25">
      <c r="A83" s="25" t="s">
        <v>14</v>
      </c>
      <c r="B83" s="26" t="s">
        <v>436</v>
      </c>
      <c r="C83" s="27" t="s">
        <v>437</v>
      </c>
      <c r="D83" s="28">
        <v>0</v>
      </c>
      <c r="E83" s="27" t="s">
        <v>438</v>
      </c>
      <c r="F83" s="28">
        <v>2</v>
      </c>
      <c r="G83" s="29" t="str">
        <f>IF(OR(D83="",F83=""),"chưa rõ",IF(F83&gt;D83,"FRACILE",IF(D83&gt;F83,"Vivoire","hoà")))</f>
        <v>FRACILE</v>
      </c>
      <c r="H83" s="25" t="s">
        <v>439</v>
      </c>
      <c r="I83" s="30" t="s">
        <v>440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441</v>
      </c>
    </row>
    <row r="2" spans="1:5" x14ac:dyDescent="0.25">
      <c r="A2" s="12" t="s">
        <v>442</v>
      </c>
      <c r="B2" s="12"/>
      <c r="C2" s="12"/>
      <c r="D2" s="12"/>
      <c r="E2" s="12"/>
    </row>
    <row r="3" spans="1:5" x14ac:dyDescent="0.25">
      <c r="A3" s="12"/>
      <c r="B3" s="12"/>
      <c r="C3" s="12"/>
      <c r="D3" s="12"/>
      <c r="E3" s="12"/>
    </row>
    <row r="5" ht="34" customHeight="1" spans="1:5" x14ac:dyDescent="0.25">
      <c r="A5" s="3" t="s">
        <v>443</v>
      </c>
      <c r="B5" s="3" t="s">
        <v>444</v>
      </c>
      <c r="C5" s="3" t="s">
        <v>445</v>
      </c>
      <c r="D5" s="3" t="s">
        <v>446</v>
      </c>
      <c r="E5" s="3" t="s">
        <v>447</v>
      </c>
    </row>
    <row r="6" ht="42" customHeight="1" spans="1:5" x14ac:dyDescent="0.25">
      <c r="A6" s="27" t="s">
        <v>448</v>
      </c>
      <c r="B6" s="27" t="s">
        <v>449</v>
      </c>
      <c r="C6" s="25" t="s">
        <v>450</v>
      </c>
      <c r="D6" s="27" t="s">
        <v>451</v>
      </c>
      <c r="E6" s="27" t="s">
        <v>452</v>
      </c>
    </row>
    <row r="7" ht="42" customHeight="1" spans="1:5" x14ac:dyDescent="0.25">
      <c r="A7" s="21" t="s">
        <v>453</v>
      </c>
      <c r="B7" s="21" t="s">
        <v>454</v>
      </c>
      <c r="C7" s="19" t="s">
        <v>455</v>
      </c>
      <c r="D7" s="21" t="s">
        <v>128</v>
      </c>
      <c r="E7" s="21" t="s">
        <v>456</v>
      </c>
    </row>
    <row r="8" ht="42" customHeight="1" spans="1:5" x14ac:dyDescent="0.25">
      <c r="A8" s="21" t="s">
        <v>457</v>
      </c>
      <c r="B8" s="21" t="s">
        <v>458</v>
      </c>
      <c r="C8" s="19" t="s">
        <v>455</v>
      </c>
      <c r="D8" s="21" t="s">
        <v>459</v>
      </c>
      <c r="E8" s="21" t="s">
        <v>460</v>
      </c>
    </row>
    <row r="9" ht="42" customHeight="1" spans="1:5" x14ac:dyDescent="0.25">
      <c r="A9" s="21" t="s">
        <v>252</v>
      </c>
      <c r="B9" s="21" t="s">
        <v>461</v>
      </c>
      <c r="C9" s="19" t="s">
        <v>455</v>
      </c>
      <c r="D9" s="21" t="s">
        <v>128</v>
      </c>
      <c r="E9" s="21" t="s">
        <v>462</v>
      </c>
    </row>
    <row r="10" ht="42" customHeight="1" spans="1:5" x14ac:dyDescent="0.25">
      <c r="A10" s="21" t="s">
        <v>463</v>
      </c>
      <c r="B10" s="21" t="s">
        <v>464</v>
      </c>
      <c r="C10" s="19" t="s">
        <v>455</v>
      </c>
      <c r="D10" s="21" t="s">
        <v>128</v>
      </c>
      <c r="E10" s="21" t="s">
        <v>465</v>
      </c>
    </row>
    <row r="11" ht="42" customHeight="1" spans="1:5" x14ac:dyDescent="0.25">
      <c r="A11" s="27" t="s">
        <v>466</v>
      </c>
      <c r="B11" s="27" t="s">
        <v>467</v>
      </c>
      <c r="C11" s="25" t="s">
        <v>468</v>
      </c>
      <c r="D11" s="27" t="s">
        <v>469</v>
      </c>
      <c r="E11" s="27" t="s">
        <v>470</v>
      </c>
    </row>
    <row r="12" ht="42" customHeight="1" spans="1:5" x14ac:dyDescent="0.25">
      <c r="A12" s="27" t="s">
        <v>471</v>
      </c>
      <c r="B12" s="27" t="s">
        <v>472</v>
      </c>
      <c r="C12" s="25" t="s">
        <v>450</v>
      </c>
      <c r="D12" s="27" t="s">
        <v>473</v>
      </c>
      <c r="E12" s="27" t="s">
        <v>474</v>
      </c>
    </row>
    <row r="13" ht="42" customHeight="1" spans="1:5" x14ac:dyDescent="0.25">
      <c r="A13" s="27" t="s">
        <v>475</v>
      </c>
      <c r="B13" s="27" t="s">
        <v>476</v>
      </c>
      <c r="C13" s="25" t="s">
        <v>468</v>
      </c>
      <c r="D13" s="27" t="s">
        <v>469</v>
      </c>
      <c r="E13" s="27" t="s">
        <v>477</v>
      </c>
    </row>
    <row r="14" ht="42" customHeight="1" spans="1:5" x14ac:dyDescent="0.25">
      <c r="A14" s="27" t="s">
        <v>258</v>
      </c>
      <c r="B14" s="27" t="s">
        <v>478</v>
      </c>
      <c r="C14" s="25" t="s">
        <v>450</v>
      </c>
      <c r="D14" s="27" t="s">
        <v>473</v>
      </c>
      <c r="E14" s="27" t="s">
        <v>479</v>
      </c>
    </row>
    <row r="15" ht="42" customHeight="1" spans="1:5" x14ac:dyDescent="0.25">
      <c r="A15" s="27" t="s">
        <v>480</v>
      </c>
      <c r="B15" s="27" t="s">
        <v>481</v>
      </c>
      <c r="C15" s="25" t="s">
        <v>468</v>
      </c>
      <c r="D15" s="27" t="s">
        <v>469</v>
      </c>
      <c r="E15" s="27" t="s">
        <v>482</v>
      </c>
    </row>
    <row r="16" ht="42" customHeight="1" spans="1:5" x14ac:dyDescent="0.25">
      <c r="A16" s="27" t="s">
        <v>483</v>
      </c>
      <c r="B16" s="27" t="s">
        <v>484</v>
      </c>
      <c r="C16" s="25" t="s">
        <v>468</v>
      </c>
      <c r="D16" s="27" t="s">
        <v>485</v>
      </c>
      <c r="E16" s="27" t="s">
        <v>486</v>
      </c>
    </row>
    <row r="17" ht="42" customHeight="1" spans="1:5" x14ac:dyDescent="0.25">
      <c r="A17" s="27" t="s">
        <v>487</v>
      </c>
      <c r="B17" s="27" t="s">
        <v>488</v>
      </c>
      <c r="C17" s="25" t="s">
        <v>468</v>
      </c>
      <c r="D17" s="27" t="s">
        <v>489</v>
      </c>
      <c r="E17" s="27" t="s">
        <v>490</v>
      </c>
    </row>
    <row r="18" ht="42" customHeight="1" spans="1:5" x14ac:dyDescent="0.25">
      <c r="A18" s="27" t="s">
        <v>491</v>
      </c>
      <c r="B18" s="27" t="s">
        <v>492</v>
      </c>
      <c r="C18" s="25" t="s">
        <v>450</v>
      </c>
      <c r="D18" s="27" t="s">
        <v>128</v>
      </c>
      <c r="E18" s="27" t="s">
        <v>493</v>
      </c>
    </row>
    <row r="19" ht="42" customHeight="1" spans="1:5" x14ac:dyDescent="0.25">
      <c r="A19" s="27" t="s">
        <v>494</v>
      </c>
      <c r="B19" s="27" t="s">
        <v>495</v>
      </c>
      <c r="C19" s="25" t="s">
        <v>468</v>
      </c>
      <c r="D19" s="27" t="s">
        <v>485</v>
      </c>
      <c r="E19" s="27" t="s">
        <v>496</v>
      </c>
    </row>
    <row r="20" ht="42" customHeight="1" spans="1:5" x14ac:dyDescent="0.25">
      <c r="A20" s="27" t="s">
        <v>497</v>
      </c>
      <c r="B20" s="27" t="s">
        <v>498</v>
      </c>
      <c r="C20" s="25" t="s">
        <v>468</v>
      </c>
      <c r="D20" s="27" t="s">
        <v>485</v>
      </c>
      <c r="E20" s="27" t="s">
        <v>499</v>
      </c>
    </row>
    <row r="21" ht="42" customHeight="1" spans="1:5" x14ac:dyDescent="0.25">
      <c r="A21" s="27" t="s">
        <v>500</v>
      </c>
      <c r="B21" s="27" t="s">
        <v>498</v>
      </c>
      <c r="C21" s="25" t="s">
        <v>501</v>
      </c>
      <c r="D21" s="27" t="s">
        <v>128</v>
      </c>
      <c r="E21" s="27" t="s">
        <v>502</v>
      </c>
    </row>
    <row r="22" ht="42" customHeight="1" spans="1:5" x14ac:dyDescent="0.25">
      <c r="A22" s="27" t="s">
        <v>503</v>
      </c>
      <c r="B22" s="27" t="s">
        <v>504</v>
      </c>
      <c r="C22" s="25" t="s">
        <v>450</v>
      </c>
      <c r="D22" s="27" t="s">
        <v>505</v>
      </c>
      <c r="E22" s="27" t="s">
        <v>506</v>
      </c>
    </row>
    <row r="23" ht="42" customHeight="1" spans="1:5" x14ac:dyDescent="0.25">
      <c r="A23" s="27" t="s">
        <v>507</v>
      </c>
      <c r="B23" s="27" t="s">
        <v>508</v>
      </c>
      <c r="C23" s="25" t="s">
        <v>450</v>
      </c>
      <c r="D23" s="27" t="s">
        <v>509</v>
      </c>
      <c r="E23" s="27" t="s">
        <v>510</v>
      </c>
    </row>
    <row r="24" ht="42" customHeight="1" spans="1:5" x14ac:dyDescent="0.25">
      <c r="A24" s="27" t="s">
        <v>511</v>
      </c>
      <c r="B24" s="27" t="s">
        <v>504</v>
      </c>
      <c r="C24" s="25" t="s">
        <v>468</v>
      </c>
      <c r="D24" s="27" t="s">
        <v>489</v>
      </c>
      <c r="E24" s="27" t="s">
        <v>512</v>
      </c>
    </row>
    <row r="25" ht="42" customHeight="1" spans="1:5" x14ac:dyDescent="0.25">
      <c r="A25" s="27" t="s">
        <v>513</v>
      </c>
      <c r="B25" s="27" t="s">
        <v>514</v>
      </c>
      <c r="C25" s="25" t="s">
        <v>501</v>
      </c>
      <c r="D25" s="27" t="s">
        <v>128</v>
      </c>
      <c r="E25" s="27" t="s">
        <v>515</v>
      </c>
    </row>
    <row r="28" spans="1:1" x14ac:dyDescent="0.25">
      <c r="A28" s="38" t="s">
        <v>516</v>
      </c>
    </row>
    <row r="29" ht="30" customHeight="1" spans="1:5" x14ac:dyDescent="0.25">
      <c r="A29" s="18" t="s">
        <v>517</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518</v>
      </c>
    </row>
    <row r="3" ht="34" customHeight="1" spans="1:4" x14ac:dyDescent="0.25">
      <c r="A3" s="3" t="s">
        <v>519</v>
      </c>
      <c r="B3" s="3" t="s">
        <v>520</v>
      </c>
      <c r="C3" s="3" t="s">
        <v>521</v>
      </c>
      <c r="D3" s="3" t="s">
        <v>522</v>
      </c>
    </row>
    <row r="4" spans="1:4" x14ac:dyDescent="0.25">
      <c r="A4" s="39" t="s">
        <v>523</v>
      </c>
      <c r="B4" s="40">
        <v>161</v>
      </c>
      <c r="C4" s="41" t="s">
        <v>524</v>
      </c>
      <c r="D4" s="42" t="s">
        <v>525</v>
      </c>
    </row>
    <row r="5" spans="1:4" x14ac:dyDescent="0.25">
      <c r="A5" s="39" t="s">
        <v>526</v>
      </c>
      <c r="B5" s="40">
        <v>943</v>
      </c>
      <c r="C5" s="41" t="s">
        <v>527</v>
      </c>
      <c r="D5" s="42" t="s">
        <v>525</v>
      </c>
    </row>
    <row r="6" spans="1:4" x14ac:dyDescent="0.25">
      <c r="A6" s="39" t="s">
        <v>528</v>
      </c>
      <c r="B6" s="40">
        <v>704</v>
      </c>
      <c r="C6" s="41" t="s">
        <v>529</v>
      </c>
      <c r="D6" s="42" t="s">
        <v>530</v>
      </c>
    </row>
    <row r="7" spans="1:4" x14ac:dyDescent="0.25">
      <c r="A7" s="39" t="s">
        <v>531</v>
      </c>
      <c r="B7" s="40">
        <v>22</v>
      </c>
      <c r="C7" s="41" t="s">
        <v>532</v>
      </c>
      <c r="D7" s="42" t="s">
        <v>530</v>
      </c>
    </row>
    <row r="8" spans="1:4" x14ac:dyDescent="0.25">
      <c r="A8" s="39" t="s">
        <v>533</v>
      </c>
      <c r="B8" s="40">
        <v>13</v>
      </c>
      <c r="C8" s="41" t="s">
        <v>534</v>
      </c>
      <c r="D8" s="42" t="s">
        <v>525</v>
      </c>
    </row>
    <row r="9" spans="1:4" x14ac:dyDescent="0.25">
      <c r="A9" s="39" t="s">
        <v>535</v>
      </c>
      <c r="B9" s="40">
        <v>109</v>
      </c>
      <c r="C9" s="41" t="s">
        <v>536</v>
      </c>
      <c r="D9" s="42" t="s">
        <v>525</v>
      </c>
    </row>
    <row r="10" spans="1:4" x14ac:dyDescent="0.25">
      <c r="A10" s="39" t="s">
        <v>537</v>
      </c>
      <c r="B10" s="40">
        <v>12</v>
      </c>
      <c r="C10" s="41" t="s">
        <v>538</v>
      </c>
      <c r="D10" s="42" t="s">
        <v>539</v>
      </c>
    </row>
    <row r="11" spans="1:4" x14ac:dyDescent="0.25">
      <c r="A11" s="39" t="s">
        <v>540</v>
      </c>
      <c r="B11" s="40">
        <v>131</v>
      </c>
      <c r="C11" s="41" t="s">
        <v>541</v>
      </c>
      <c r="D11" s="42" t="s">
        <v>539</v>
      </c>
    </row>
    <row r="12" spans="1:4" x14ac:dyDescent="0.25">
      <c r="A12" s="39" t="s">
        <v>542</v>
      </c>
      <c r="B12" s="40">
        <v>18</v>
      </c>
      <c r="C12" s="41" t="s">
        <v>543</v>
      </c>
      <c r="D12" s="42" t="s">
        <v>544</v>
      </c>
    </row>
    <row r="13" spans="1:4" x14ac:dyDescent="0.25">
      <c r="A13" s="39" t="s">
        <v>545</v>
      </c>
      <c r="B13" s="40">
        <v>57</v>
      </c>
      <c r="C13" s="41" t="s">
        <v>546</v>
      </c>
      <c r="D13" s="42" t="s">
        <v>544</v>
      </c>
    </row>
    <row r="14" spans="1:4" x14ac:dyDescent="0.25">
      <c r="A14" s="39" t="s">
        <v>547</v>
      </c>
      <c r="B14" s="40">
        <v>21</v>
      </c>
      <c r="C14" s="41" t="s">
        <v>548</v>
      </c>
      <c r="D14" s="42" t="s">
        <v>525</v>
      </c>
    </row>
    <row r="15" spans="1:4" x14ac:dyDescent="0.25">
      <c r="A15" s="39" t="s">
        <v>549</v>
      </c>
      <c r="B15" s="40">
        <v>1</v>
      </c>
      <c r="C15" s="41" t="s">
        <v>550</v>
      </c>
      <c r="D15" s="42" t="s">
        <v>530</v>
      </c>
    </row>
    <row r="16" spans="1:4" x14ac:dyDescent="0.25">
      <c r="A16" s="39" t="s">
        <v>551</v>
      </c>
      <c r="B16" s="40">
        <v>4</v>
      </c>
      <c r="C16" s="41" t="s">
        <v>552</v>
      </c>
      <c r="D16" s="42" t="s">
        <v>530</v>
      </c>
    </row>
    <row r="17" spans="1:4" x14ac:dyDescent="0.25">
      <c r="A17" s="39" t="s">
        <v>553</v>
      </c>
      <c r="B17" s="40">
        <v>8</v>
      </c>
      <c r="C17" s="41" t="s">
        <v>554</v>
      </c>
      <c r="D17" s="42" t="s">
        <v>555</v>
      </c>
    </row>
    <row r="18" spans="1:4" x14ac:dyDescent="0.25">
      <c r="A18" s="39" t="s">
        <v>556</v>
      </c>
      <c r="B18" s="40">
        <v>0</v>
      </c>
      <c r="C18" s="41" t="s">
        <v>557</v>
      </c>
      <c r="D18" s="42" t="s">
        <v>544</v>
      </c>
    </row>
    <row r="19" spans="1:4" x14ac:dyDescent="0.25">
      <c r="A19" s="39" t="s">
        <v>558</v>
      </c>
      <c r="B19" s="40">
        <v>1</v>
      </c>
      <c r="C19" s="41" t="s">
        <v>559</v>
      </c>
      <c r="D19" s="42" t="s">
        <v>560</v>
      </c>
    </row>
    <row r="20" spans="1:4" x14ac:dyDescent="0.25">
      <c r="A20" s="39" t="s">
        <v>561</v>
      </c>
      <c r="B20" s="40">
        <v>2</v>
      </c>
      <c r="C20" s="41" t="s">
        <v>562</v>
      </c>
      <c r="D20" s="42" t="s">
        <v>530</v>
      </c>
    </row>
    <row r="21" spans="1:4" x14ac:dyDescent="0.25">
      <c r="A21" s="39" t="s">
        <v>563</v>
      </c>
      <c r="B21" s="40">
        <v>2</v>
      </c>
      <c r="C21" s="41" t="s">
        <v>564</v>
      </c>
      <c r="D21" s="42" t="s">
        <v>530</v>
      </c>
    </row>
    <row r="22" spans="1:4" x14ac:dyDescent="0.25">
      <c r="A22" s="39" t="s">
        <v>565</v>
      </c>
      <c r="B22" s="40">
        <v>7</v>
      </c>
      <c r="C22" s="41" t="s">
        <v>566</v>
      </c>
      <c r="D22" s="42" t="s">
        <v>530</v>
      </c>
    </row>
    <row r="23" spans="1:4" x14ac:dyDescent="0.25">
      <c r="A23" s="39" t="s">
        <v>567</v>
      </c>
      <c r="B23" s="40">
        <v>600</v>
      </c>
      <c r="C23" s="41" t="s">
        <v>568</v>
      </c>
      <c r="D23" s="42" t="s">
        <v>525</v>
      </c>
    </row>
    <row r="25" spans="1:3" x14ac:dyDescent="0.25">
      <c r="A25" s="13" t="s">
        <v>569</v>
      </c>
      <c r="B25" s="43">
        <f>B6/B5</f>
        <v>0.7990919409761634</v>
      </c>
      <c r="C25" s="44" t="s">
        <v>570</v>
      </c>
    </row>
    <row r="26" spans="1:3" x14ac:dyDescent="0.25">
      <c r="A26" s="13" t="s">
        <v>571</v>
      </c>
      <c r="B26" s="45">
        <f>B5-B6</f>
        <v>177</v>
      </c>
      <c r="C26" s="44" t="s">
        <v>572</v>
      </c>
    </row>
    <row r="29" spans="1:1" x14ac:dyDescent="0.25">
      <c r="A29" s="38" t="s">
        <v>573</v>
      </c>
    </row>
    <row r="30" ht="34" customHeight="1" spans="1:4" x14ac:dyDescent="0.25">
      <c r="A30" s="3" t="s">
        <v>519</v>
      </c>
      <c r="B30" s="3" t="s">
        <v>520</v>
      </c>
      <c r="C30" s="3" t="s">
        <v>574</v>
      </c>
      <c r="D30" s="3" t="s">
        <v>575</v>
      </c>
    </row>
    <row r="31" spans="1:4" x14ac:dyDescent="0.25">
      <c r="A31" s="19" t="s">
        <v>576</v>
      </c>
      <c r="B31" s="21" t="s">
        <v>577</v>
      </c>
      <c r="C31" s="21" t="s">
        <v>578</v>
      </c>
      <c r="D31" s="21" t="s">
        <v>579</v>
      </c>
    </row>
    <row r="32" spans="1:4" x14ac:dyDescent="0.25">
      <c r="A32" s="19" t="s">
        <v>580</v>
      </c>
      <c r="B32" s="21" t="s">
        <v>577</v>
      </c>
      <c r="C32" s="21" t="s">
        <v>578</v>
      </c>
      <c r="D32" s="21" t="s">
        <v>579</v>
      </c>
    </row>
    <row r="33" spans="1:4" x14ac:dyDescent="0.25">
      <c r="A33" s="19" t="s">
        <v>581</v>
      </c>
      <c r="B33" s="21" t="s">
        <v>582</v>
      </c>
      <c r="C33" s="21" t="s">
        <v>578</v>
      </c>
      <c r="D33" s="21" t="s">
        <v>579</v>
      </c>
    </row>
    <row r="34" spans="1:4" x14ac:dyDescent="0.25">
      <c r="A34" s="46" t="s">
        <v>583</v>
      </c>
      <c r="B34" s="47" t="s">
        <v>584</v>
      </c>
      <c r="C34" s="47" t="s">
        <v>585</v>
      </c>
      <c r="D34" s="47" t="s">
        <v>586</v>
      </c>
    </row>
    <row r="35" spans="1:4" x14ac:dyDescent="0.25">
      <c r="A35" s="46" t="s">
        <v>587</v>
      </c>
      <c r="B35" s="47" t="s">
        <v>588</v>
      </c>
      <c r="C35" s="47" t="s">
        <v>589</v>
      </c>
      <c r="D35" s="47" t="s">
        <v>586</v>
      </c>
    </row>
    <row r="36" spans="1:4" x14ac:dyDescent="0.25">
      <c r="A36" s="19" t="s">
        <v>590</v>
      </c>
      <c r="B36" s="21" t="s">
        <v>591</v>
      </c>
      <c r="C36" s="21" t="s">
        <v>592</v>
      </c>
      <c r="D36" s="21" t="s">
        <v>593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594</v>
      </c>
    </row>
    <row r="3" ht="34" customHeight="1" spans="1:5" x14ac:dyDescent="0.25">
      <c r="A3" s="3" t="s">
        <v>595</v>
      </c>
      <c r="B3" s="3" t="s">
        <v>596</v>
      </c>
      <c r="C3" s="3" t="s">
        <v>597</v>
      </c>
      <c r="D3" s="3" t="s">
        <v>598</v>
      </c>
      <c r="E3" s="3" t="s">
        <v>599</v>
      </c>
    </row>
    <row r="4" ht="62" customHeight="1" spans="1:5" x14ac:dyDescent="0.25">
      <c r="A4" s="22">
        <v>1</v>
      </c>
      <c r="B4" s="19" t="s">
        <v>600</v>
      </c>
      <c r="C4" s="21" t="s">
        <v>601</v>
      </c>
      <c r="D4" s="21" t="s">
        <v>602</v>
      </c>
      <c r="E4" s="21" t="s">
        <v>603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2026-10-20T04:08:11Z</dcterms:modified>
</cp:coreProperties>
</file>