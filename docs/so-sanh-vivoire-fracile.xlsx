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2.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Tổng quan" state="visible" r:id="rId4"/>
    <sheet sheetId="2" name="So sánh chi tiết" state="visible" r:id="rId5"/>
    <sheet sheetId="3" name="Tài khoản giáo viên" state="visible" r:id="rId6"/>
    <sheet sheetId="4" name="Số liệu đo được" state="visible" r:id="rId7"/>
    <sheet sheetId="5" name="Việc cần làm" state="visible" r:id="rId8"/>
  </sheets>
  <calcPr calcId="171027"/>
</workbook>
</file>

<file path=xl/comments2.xml><?xml version="1.0" encoding="utf-8"?>
<comments xmlns="http://schemas.openxmlformats.org/spreadsheetml/2006/main">
  <authors>
    <author>Author</author>
  </authors>
  <commentList>
    <comment ref="D1" authorId="0">
      <text>
        <r>
          <t xml:space="preserve">Thang điểm: 0 = không có · 1 = có nhưng hạn chế hoặc chưa dựng xong · 2 = có và làm tốt.
Ô TRỐNG = chưa kiểm chứng được, và KHÔNG tính vào trung bình.
Mọi mục của Vivoire đọc từ trang chủ vivoire.app ngày 09/09/2026. Không có tài khoản nên không kiểm được bên trong. « Không thấy nêu » KHÔNG có nghĩa là « họ không có ».</t>
        </r>
      </text>
    </comment>
  </commentList>
</comments>
</file>

<file path=xl/sharedStrings.xml><?xml version="1.0" encoding="utf-8"?>
<sst xmlns="http://schemas.openxmlformats.org/spreadsheetml/2006/main" count="554" uniqueCount="383">
  <si>
    <t>VIVOIRE  vs  FRACILE — bảng so sánh chi tiết</t>
  </si>
  <si>
    <t>Vivoire: đọc từ trang chủ vivoire.app ngày 09/09/2026 — CHƯA đọc lại. Không có tài khoản nên không kiểm được bên trong sản phẩm.</t>
  </si>
  <si>
    <t>FRACILE: đo từ mã nguồn và database production ngày 22/09/2026.</t>
  </si>
  <si>
    <t>Mọi con số ở sheet này TÍNH từ sheet « So sánh chi tiết » — sửa điểm ở đó thì ở đây tự đổi theo.</t>
  </si>
  <si>
    <t>Nhóm</t>
  </si>
  <si>
    <t>Số mục</t>
  </si>
  <si>
    <t>So được</t>
  </si>
  <si>
    <t xml:space="preserve">Điểm TB
Vivoire</t>
  </si>
  <si>
    <t xml:space="preserve">Điểm TB
FRACILE</t>
  </si>
  <si>
    <t>Chênh lệch</t>
  </si>
  <si>
    <t>Bên nào hơn</t>
  </si>
  <si>
    <t>A. Chấm bài</t>
  </si>
  <si>
    <t>B. Mô phỏng phòng thi</t>
  </si>
  <si>
    <t>C. Thư viện nội dung</t>
  </si>
  <si>
    <t>D. Công cụ học tập</t>
  </si>
  <si>
    <t>E. Tài khoản giáo viên</t>
  </si>
  <si>
    <t>F. Nền tảng &amp; phân phối</t>
  </si>
  <si>
    <t>G. Lòng tin &amp; pháp lý</t>
  </si>
  <si>
    <t>TOÀN BỘ</t>
  </si>
  <si>
    <t>ĐỪNG ĐỌC DÒNG « TOÀN BỘ » NHƯ MỘT TỶ SỐ TRẬN ĐẤU — PHÉP CHỌN MỤC NGHIÊNG SẴN VỀ VIVOIRE.</t>
  </si>
  <si>
    <t xml:space="preserve">Hai cột « Điểm TB » chỉ tính trên những mục CẢ HAI bên đều có điểm — cột « So được » cho biết đó là bao nhiêu mục trong tổng số. Mọi mục « không thấy nêu » của Vivoire bị BỎ RA khỏi phép tính chứ không bị cho 0 điểm: tôi không có tài khoản Vivoire, và « không nêu » không phải là « không có ». Đổi lại, 19 mục FRACILE mạnh mà Vivoire không nêu (đồng hồ chạy khi đóng tab, 2 lượt nghe đếm ở máy chủ, thang chấm tự soạn…) cũng không được cộng vào đây. Bảng này đo NƠI HAI BÊN GẶP NHAU, không đo tổng giá trị hai sản phẩm.
Và chỗ hai bên gặp nhau CHÍNH LÀ mặt hàng Vivoire đem đi bán: 30 mục so được đều là thứ họ đưa lên trang chủ. Nên trung bình nghiêng về họ theo đúng cách một bảng so sánh dựng từ trang bán hàng của đối thủ sẽ nghiêng. Đọc cột « So được » trước cột « Điểm TB »: nhóm nào dưới 3 mục thì cột cuối ghi « quá ít mục » và không kết luận gì.</t>
  </si>
  <si>
    <t>THANG ĐIỂM</t>
  </si>
  <si>
    <t>0</t>
  </si>
  <si>
    <t>Không có</t>
  </si>
  <si>
    <t>1</t>
  </si>
  <si>
    <t>Có nhưng hạn chế, hoặc đã dựng mà chưa chạy được đầu-cuối</t>
  </si>
  <si>
    <t>2</t>
  </si>
  <si>
    <t>Có và làm tốt</t>
  </si>
  <si>
    <t>(trống)</t>
  </si>
  <si>
    <t>Chưa kiểm chứng được — KHÔNG tính vào trung bình</t>
  </si>
  <si>
    <t>ĐÃ ĐỔI GÌ SO VỚI BẢN 09/09 — bản này đo 21/09/2026</t>
  </si>
  <si>
    <t>Chấm PE bằng AI</t>
  </si>
  <si>
    <t>Đã dựng (Edge Function cham-pe, 38 ca kiểm) nhưng CHƯA BẬT vì thiếu khoá API. Điểm 0 → 1: có mà chưa chạy được đầu-cuối.</t>
  </si>
  <si>
    <t>Flashcard đổi mô hình</t>
  </si>
  <si>
    <t>Thẻ SM-2 sinh từ lỗi sai đã gỡ; nay là bộ do giáo viên soạn, đã chạy thật với tài khoản học sinh. Điểm cơ chế 2 → 1: mất lịch ôn ngắt quãng — đúng chỗ Vivoire mạnh.</t>
  </si>
  <si>
    <t>FAQ + Điều khoản</t>
  </si>
  <si>
    <t>Có từ 21/09. Điểm 0 → 1, chưa lên 2: cả hai chưa có email liên hệ, Điều khoản chưa qua luật sư.</t>
  </si>
  <si>
    <t>Chính sách bảo mật</t>
  </si>
  <si>
    <t>Dựng rồi gỡ cùng ngày theo quyết định chủ dự án. Vẫn 0.</t>
  </si>
  <si>
    <t>23/09 — tìm ra nguyên nhân lỗi cũ</t>
  </si>
  <si>
    <t>Phép thử đối chứng trên lưu lời giải: không tải lại trang → dòng xanh, database không đổi; Ctrl+F5 rồi viết hai lần → 207 lên 209. Nguyên nhân của cả ba lỗi 'báo lưu mà không lưu' là TAB CHẠY BẢN JS CŨ, không phải máy chủ.</t>
  </si>
  <si>
    <t>22/09 — lịch ôn lưu được</t>
  </si>
  <si>
    <t>Tài khoản thật bấm Tốt nhưng database không đổi; thêm hàm chấm có biên nhận (091), sau Ctrl+F5 thì lưu được. Nguyên nhân gốc chưa chứng minh — nghi tab chạy bản JS cũ. Bốn bộ Flashcard đã công khai.</t>
  </si>
  <si>
    <t>Làm tiếp cùng ngày</t>
  </si>
  <si>
    <t>Neo 1→2: 7 câu có neo thật. Flashcard cơ chế 1→2: có lại lịch ôn SM-2. Ba bộ nháp cho Đọc/Viết/Nói. Và SỬA LẠI một con số: « 8 bài tự luận học sinh đang chờ » — 7 bài là tài khoản thử của chủ dự án.</t>
  </si>
  <si>
    <t>Số liệu trôi</t>
  </si>
  <si>
    <t>33 bài (từ 34), 372 câu (từ 373), 9 tài khoản (từ 7). Không phải lỗi — thư viện và người dùng thay đổi; bảng này là ảnh chụp của một ngày.</t>
  </si>
  <si>
    <t>Mục so sánh</t>
  </si>
  <si>
    <t>Vivoire</t>
  </si>
  <si>
    <t xml:space="preserve">Điểm
Vivoire</t>
  </si>
  <si>
    <t>FRACILE</t>
  </si>
  <si>
    <t xml:space="preserve">Điểm
FRACILE</t>
  </si>
  <si>
    <t>Ai hơn</t>
  </si>
  <si>
    <t>Trạng thái FRACILE</t>
  </si>
  <si>
    <t>Bằng chứng / nguồn đo</t>
  </si>
  <si>
    <t>Trắc nghiệm / điền từ / chia động từ</t>
  </si>
  <si>
    <t>« Đề chuẩn cấu trúc, chấm ngay »</t>
  </si>
  <si>
    <t>Chấm ở MÁY CHỦ; đáp án không cấp SELECT cho trình duyệt</t>
  </si>
  <si>
    <t>Đang chạy</t>
  </si>
  <si>
    <t>Edge Function `grade` + migration 022 (answer_key khoá khỏi anon/authenticated)</t>
  </si>
  <si>
    <t>Bài viết (PE) — tự chấm theo thang</t>
  </si>
  <si>
    <t>Không thấy nêu (họ đi hướng AI)</t>
  </si>
  <si>
    <t>Grille DELF CHÍNH THỨC, 6 tiêu chí, A1–B2; đối chiếu bài mình theo từng tiêu chí</t>
  </si>
  <si>
    <t>PESelfEvaluation.jsx + shared/grilleRubric.js; check:grille 59 ca, check:bareme 457 ca</t>
  </si>
  <si>
    <t>Bài viết (PE) — AI chấm</t>
  </si>
  <si>
    <t>AI chấm ngữ pháp và cách diễn đạt</t>
  </si>
  <si>
    <t>DỰNG XONG 09/09 nhưng CHƯA BẬT — thiếu khoá API. Gợi ý theo đúng các tiêu chí grille, không tự điền; học sinh bấm « dùng số này » mới nhận</t>
  </si>
  <si>
    <t>DỰNG XONG — CHƯA BẬT</t>
  </si>
  <si>
    <t>Edge Function cham-pe trả 503 CHUA_CAU_HINH_KHOA; pe_ai_goi_y = 0 dòng (đo 21/09). Bật: npx supabase secrets set ANTHROPIC_API_KEY=…</t>
  </si>
  <si>
    <t>Bài nói (PO) — ghi âm và nghe lại</t>
  </si>
  <si>
    <t>Có, kèm phản hồi AI</t>
  </si>
  <si>
    <t>Ghi âm + tự nghe lại; CỐ Ý không cho điểm (DELF chấm nói bằng đối thoại)</t>
  </si>
  <si>
    <t>migration 057/058; bucket `bai-noi` private, đường dẫn mang phân quyền theo user_id</t>
  </si>
  <si>
    <t>Bài nói (PO) — AI chấm phát âm</t>
  </si>
  <si>
    <t>Phát âm 82% · Trôi chảy 76% · Từ vựng B1</t>
  </si>
  <si>
    <t>CHƯA CÓ</t>
  </si>
  <si>
    <t>CHƯA DỰNG</t>
  </si>
  <si>
    <t>Không có Edge Function nào gọi mô hình giọng nói</t>
  </si>
  <si>
    <t>Giáo viên chấm tay</t>
  </si>
  <si>
    <t>Có — nằm trong màn lớp học của giáo viên</t>
  </si>
  <si>
    <t>ĐÃ GỠ HẲN 09/09: route, mục menu, màn hình và nhãn i18n đều đi</t>
  </si>
  <si>
    <t>Đã gỡ — có chủ đích</t>
  </si>
  <si>
    <t>commit « Gỡ /professeur/copies ». PEGrading.jsx xoá; check:nav 94 đạt</t>
  </si>
  <si>
    <t>Lời giải thích cho câu làm sai</t>
  </si>
  <si>
    <t>Không thấy nêu trên trang chủ</t>
  </si>
  <si>
    <t>207/372 câu có lời giải; có màn xếp ưu tiên theo SỐ HỌC SINH từng sai</t>
  </si>
  <si>
    <t>migration 069/070; /professeur/loi-giai</t>
  </si>
  <si>
    <t>Neo đáp án vào ngữ liệu (chỉ ra CHỖ chứa câu trả lời)</t>
  </si>
  <si>
    <t>Có dữ liệu thật từ 21/09: 7 câu của bài « L'impact des locations saisonnières » có neo, kèm 4 bẫy giải thích vì sao đáp án sai dụ người ta</t>
  </si>
  <si>
    <t>Đang chạy — có dữ liệu</t>
  </si>
  <si>
    <t>Mỗi đoạn trích kiểm bằng kiemNeo() trên văn bản thật trước khi ghi; claim giả: học sinh đã làm đọc được 7 neo, chưa làm đọc được 0</t>
  </si>
  <si>
    <t>Đề thi thử đúng cấu trúc DELF</t>
  </si>
  <si>
    <t>DELF/DALF A1–C2</t>
  </si>
  <si>
    <t>2 đề, đủ 4 phần CO/CE/PE/PO, chỉ B1–B2</t>
  </si>
  <si>
    <t>Bảng exams + exam_sections; migration 026/044/059</t>
  </si>
  <si>
    <t>Nghe hiểu giới hạn 2 lượt phát</t>
  </si>
  <si>
    <t>Không thấy nêu</t>
  </si>
  <si>
    <t>Có, và ĐẾM Ở MÁY CHỦ — không phải ở trình duyệt nên không lách được</t>
  </si>
  <si>
    <t>RPC _exam_play; migration 024 đã thu quyền gọi trực tiếp của học sinh</t>
  </si>
  <si>
    <t>Đồng hồ chạy tiếp khi đóng tab</t>
  </si>
  <si>
    <t>Có — mốc thời gian giữ ở máy chủ</t>
  </si>
  <si>
    <t>attempts.started_at; màn thi nằm ngoài vỏ app</t>
  </si>
  <si>
    <t>Đọc hiểu chia đôi màn hình, văn bản cuộn riêng</t>
  </si>
  <si>
    <t>Có</t>
  </si>
  <si>
    <t>Màn thi thử và PESelfEvaluation dùng cùng bố cục hai cột</t>
  </si>
  <si>
    <t>Học sinh bỏ chọn phần không thi (PO)</t>
  </si>
  <si>
    <t>Có — tổng phút cam kết giảm theo, không hứa 130 phút cho buổi 115 phút</t>
  </si>
  <si>
    <t>Màn chờ thi; check:exam 114 ca</t>
  </si>
  <si>
    <t>Thang chấm do giáo viên tự soạn</t>
  </si>
  <si>
    <t>Có — exams.grille; giao diện không cần nhánh if nào</t>
  </si>
  <si>
    <t>migration 035/036; GrilleEditor.jsx</t>
  </si>
  <si>
    <t>Dải cấp độ</t>
  </si>
  <si>
    <t>A1 → C2 (6 cấp) + ôn thi cấp 3</t>
  </si>
  <si>
    <t>B1 – B2 (2 cấp)</t>
  </si>
  <si>
    <t>Có chủ đích — nhắm hẹp</t>
  </si>
  <si>
    <t>docs/roadmap-delf.md</t>
  </si>
  <si>
    <t>Số bài luyện</t>
  </si>
  <si>
    <t>200 chép chính tả + 200 nghe điền từ (họ công bố)</t>
  </si>
  <si>
    <t>33 bài (ĐẾM THẬT trên production)</t>
  </si>
  <si>
    <t>select count(*) from exercises = 33, đo 21/09/2026 (09/09 là 34)</t>
  </si>
  <si>
    <t>Số câu hỏi</t>
  </si>
  <si>
    <t>Không công bố</t>
  </si>
  <si>
    <t>372 câu, 7 dạng (qcm, fill, conj, vf, tableau, order, tự luận)</t>
  </si>
  <si>
    <t>select count(*) from questions = 372, đo 21/09/2026</t>
  </si>
  <si>
    <t>Từ điển Pháp–Việt</t>
  </si>
  <si>
    <t>56.000+ từ · IPA · nghĩa Việt · cấp CEFR · chia động từ · tra ngay trong bài</t>
  </si>
  <si>
    <t>KHÔNG CÓ</t>
  </si>
  <si>
    <t>Không có kế hoạch</t>
  </si>
  <si>
    <t>Ô chênh lệch lớn nhất trong cả bảng</t>
  </si>
  <si>
    <t>Podcast / học theo video</t>
  </si>
  <si>
    <t/>
  </si>
  <si>
    <t>Audio bản xứ</t>
  </si>
  <si>
    <t>Có (nêu rõ « audio bản xứ »)</t>
  </si>
  <si>
    <t>Có file nghe cho phần CO, không nêu nguồn giọng đọc</t>
  </si>
  <si>
    <t>Bucket đề bài công khai</t>
  </si>
  <si>
    <t>Nhập đề hàng loạt</t>
  </si>
  <si>
    <t>Dán một khối JSON là xong cả bài 25 câu. KHÔNG đọc được .docx</t>
  </si>
  <si>
    <t>Builder.jsx — trình nhập JSON</t>
  </si>
  <si>
    <t>Flashcard — cơ chế</t>
  </si>
  <si>
    <t>Flashcard + 3 game mỗi ngày, « ôn từ đúng lúc sắp quên »</t>
  </si>
  <si>
    <t>Bộ do GIÁO VIÊN soạn, chia theo kỹ năng, thẻ lật 3D, CÓ lịch ôn SM-2 từ 21/09 (chỉ hiện thẻ đến hạn, bốn mức nhớ). Học sinh không tự tạo thẻ; chưa có trò chơi</t>
  </si>
  <si>
    <t>Đang chạy — lưu thật 22/09</t>
  </si>
  <si>
    <t>migration 085–091; tài khoản thật bấm Tốt → 2 thẻ reps=1, hẹn 23/09. Mỗi lần chấm có biên nhận, hỏng thì hiện chữ đỏ</t>
  </si>
  <si>
    <t>Flashcard — quy mô</t>
  </si>
  <si>
    <t>Không công bố số thẻ</t>
  </si>
  <si>
    <t>4 bộ · 35 thẻ, đủ bốn kỹ năng, cả bốn công khai. Còn nhỏ so với một thư viện flashcard thật</t>
  </si>
  <si>
    <t>Đang chạy — 4 công khai</t>
  </si>
  <si>
    <t>the_bo = 4, the_bo_the = 35; học sinh mở bằng tài khoản thật thấy đủ bốn bộ (21/09)</t>
  </si>
  <si>
    <t>Soạn thẻ hàng loạt</t>
  </si>
  <si>
    <t>Dán nhiều dòng « mặt trước | mặt sau | phiên âm »; dòng hỏng được gọi tên kèm số dòng</t>
  </si>
  <si>
    <t>shared/boTheGiaoVien.js bocDong(); chủ dự án tạo bộ thử qua giao diện 12/09</t>
  </si>
  <si>
    <t>Chuỗi ngày học</t>
  </si>
  <si>
    <t>Có, kèm nhiệm vụ và kim cương</t>
  </si>
  <si>
    <t>Có — tính ở MÁY CHỦ, theo ngày của NGƯỜI DÙNG chứ không theo giờ UTC</t>
  </si>
  <si>
    <t>migration 061/062; RPC chuoi_ngay_hoc (gaps-and-islands)</t>
  </si>
  <si>
    <t>Trò chơi / thi đấu</t>
  </si>
  <si>
    <t>Đấu dịch thuật PvP trực tiếp</t>
  </si>
  <si>
    <t>Giờ học đo được</t>
  </si>
  <si>
    <t>CHƯA đo được — hiện dấu gạch kèm lý do, KHÔNG điền số ước lượng</t>
  </si>
  <si>
    <t>Cố ý để trống</t>
  </si>
  <si>
    <t>daily_activity.minutes để sẵn; quy tắc 1 của dự án</t>
  </si>
  <si>
    <t>Kiểm soát ai được học bài nào</t>
  </si>
  <si>
    <t>Hai tầng: trọn gói (profiles.has_premium_access) + từng bài (exercise_access)</t>
  </si>
  <si>
    <t>Đang chạy — GIỮ</t>
  </si>
  <si>
    <t>Đây chính là « kiểm soát số lượng học sinh ». AccessPanel.jsx</t>
  </si>
  <si>
    <t>Học sinh KHÔNG tự mở khoá được cho mình</t>
  </si>
  <si>
    <t>exercise_access chặn mọi lệnh ghi từ trình duyệt; phải qua Edge Function</t>
  </si>
  <si>
    <t>migration 001; grant-access giữ service_role</t>
  </si>
  <si>
    <t>Soạn đề thi thử</t>
  </si>
  <si>
    <t>Có — ghép bài từ thư viện vào 4 phần, đặt phút và điểm từng phần</t>
  </si>
  <si>
    <t>ExamComposer.jsx; /professeur/examens</t>
  </si>
  <si>
    <t>Soạn bài và quản lý thư viện</t>
  </si>
  <si>
    <t>Có — Builder, thư mục, chuyển bài giữa Entraînement và Devoir</t>
  </si>
  <si>
    <t>Builder.jsx; exerciseStore.js</t>
  </si>
  <si>
    <t>Soạn Flashcard</t>
  </si>
  <si>
    <t>Có — /professeur/bo-the: tạo bộ, nhập hàng loạt, nháp ↔ công khai, xoá (thẻ đi theo)</t>
  </si>
  <si>
    <t>RLS chỉ giáo viên ghi; đo bằng claim giả: HS thấy 8 thẻ, sửa 0, xoá 0</t>
  </si>
  <si>
    <t>Giao bài theo kỹ năng và cấp độ</t>
  </si>
  <si>
    <t>store='assignment'</t>
  </si>
  <si>
    <t>Chấm bài cho học sinh</t>
  </si>
  <si>
    <t>Có — chấm tự động và AI, giáo viên chốt</t>
  </si>
  <si>
    <t>ĐÃ GỠ (học sinh tự chấm theo grille; AI chấm chưa dựng)</t>
  </si>
  <si>
    <t>Quyết định và thi hành cùng ngày 09/09/2026. Xem sheet « Tài khoản giáo viên »</t>
  </si>
  <si>
    <t>Gửi nhận xét tới một học sinh</t>
  </si>
  <si>
    <t>Có — đi đường THÔNG BÁO đang có, kèm chuông và dấu đã đọc</t>
  </si>
  <si>
    <t>Nhận xét bài nói dùng chính đường này; check:notifs 38 ca</t>
  </si>
  <si>
    <t>Lớp học video trực tiếp</t>
  </si>
  <si>
    <t>Xem đăng ký tư vấn (leads)</t>
  </si>
  <si>
    <t>Có form thu thông tin</t>
  </si>
  <si>
    <t>Bảng và màn xem CÒN NGUYÊN, nhưng FORM ĐÃ GỠ khỏi trang giới thiệu</t>
  </si>
  <si>
    <t>Tắt có chủ đích</t>
  </si>
  <si>
    <t>migration 077–080; /professeur/lien-he. Gỡ vì chưa có trang Chính sách bảo mật</t>
  </si>
  <si>
    <t>Số tài khoản đang có</t>
  </si>
  <si>
    <t>9 người dùng (gồm cả tài khoản thử)</t>
  </si>
  <si>
    <t>select count(*) from profiles = 9, đo 21/09/2026</t>
  </si>
  <si>
    <t>Web</t>
  </si>
  <si>
    <t>fracile.vercel.app / www.fracile.vn</t>
  </si>
  <si>
    <t>iOS</t>
  </si>
  <si>
    <t>Có (App Store)</t>
  </si>
  <si>
    <t>Android</t>
  </si>
  <si>
    <t>Có (Google Play)</t>
  </si>
  <si>
    <t>Tiến độ đồng bộ nhiều thiết bị</t>
  </si>
  <si>
    <t>Có (dữ liệu ở máy chủ), nhưng chỉ một nền tảng nên chưa thành lợi thế</t>
  </si>
  <si>
    <t>Ngôn ngữ giao diện</t>
  </si>
  <si>
    <t>Việt (giao diện) + Pháp (nội dung)</t>
  </si>
  <si>
    <t>Việt · Pháp · Anh</t>
  </si>
  <si>
    <t>shared/i18n.jsx; check:nav 74 ca</t>
  </si>
  <si>
    <t>Thanh toán</t>
  </si>
  <si>
    <t>Webhook SePay đã ghim công thức ký (ts.raw kiểu Stripe)</t>
  </si>
  <si>
    <t>check:hmac 45 ca; giao dịch #76732769 xác nhận</t>
  </si>
  <si>
    <t>Câu hỏi thường gặp (FAQ)</t>
  </si>
  <si>
    <t>Có từ 21/09 — 9 câu, mỗi câu đối chiếu với mã nguồn. Chưa có email liên hệ</t>
  </si>
  <si>
    <t>Có — thiếu email liên hệ</t>
  </si>
  <si>
    <t>/faq; EMAIL_LIEN_HE trong TrangPhapLy.jsx đang trống</t>
  </si>
  <si>
    <t>Điều khoản sử dụng</t>
  </si>
  <si>
    <t>Có từ 21/09 — ghi rõ điểm thi thử không phải điểm DELF chính thức; không tự đặt chính sách hoàn tiền</t>
  </si>
  <si>
    <t>Có — bản nháp, chưa qua luật sư</t>
  </si>
  <si>
    <t>/dieu-khoan</t>
  </si>
  <si>
    <t>KHÔNG CÓ — dựng xong 21/09 rồi gỡ cùng ngày theo quyết định chủ dự án</t>
  </si>
  <si>
    <t>ĐÃ GỠ — có chủ đích</t>
  </si>
  <si>
    <t>Nội dung còn trong git. Khi vắng trang này, form tư vấn không nên bật lại</t>
  </si>
  <si>
    <t>Đội ngũ công khai</t>
  </si>
  <si>
    <t>4 người, có tên và thành tích (HSG quốc gia, thạc sĩ UMass, kỹ sư AI)</t>
  </si>
  <si>
    <t>1 người — Đỗ Quốc Hùng, ghi « Đội ngũ phát triển »</t>
  </si>
  <si>
    <t>TeamSection.jsx; không ghi bằng cấp chưa kiểm chứng được</t>
  </si>
  <si>
    <t>Số liệu trên trang bán hàng</t>
  </si>
  <si>
    <t>« 56.000+ từ », « 200+200 bài » — không nói nguồn</t>
  </si>
  <si>
    <t>ĐẾM THẬT từ máy chủ lúc tải trang; hỏng thì hiện dấu gạch chứ không hiện 0</t>
  </si>
  <si>
    <t>shared/soLieuCongKhai.js; quy tắc 1 của dự án</t>
  </si>
  <si>
    <t>Giọng nói học sinh lưu ở đâu</t>
  </si>
  <si>
    <t>Bucket RIÊNG, private, không policy xoá/sửa; đường dẫn so user_id</t>
  </si>
  <si>
    <t>migration 057/058 — giọng trẻ vị thành niên ở URL đoán được là chuyện pháp lý</t>
  </si>
  <si>
    <t>TÀI KHOẢN GIÁO VIÊN — giữ để KIỂM SOÁT, không để CHẤM BÀI</t>
  </si>
  <si>
    <t>Quyết định của chủ dự án ngày 09/09/2026: giữ tài khoản giáo viên để quản lý số lượng học sinh và quyền truy cập; bỏ hoàn toàn việc giáo viên chấm bài. Học sinh tự chấm theo grille DELF; AI gợi ý chấm đã dựng nhưng chưa bật (thiếu khoá API).</t>
  </si>
  <si>
    <t>Quyền / màn hình</t>
  </si>
  <si>
    <t>Đường dẫn</t>
  </si>
  <si>
    <t>Quyết định</t>
  </si>
  <si>
    <t>Tình trạng mã nguồn HÔM NAY</t>
  </si>
  <si>
    <t>Ghi chú</t>
  </si>
  <si>
    <t>Bật/tắt quyền học từng bài cho một học sinh</t>
  </si>
  <si>
    <t>AccessPanel (trong dashboard)</t>
  </si>
  <si>
    <t>GIỮ</t>
  </si>
  <si>
    <t>Đây chính là « kiểm soát số lượng học sinh ». Ghi qua Edge Function grant-access.</t>
  </si>
  <si>
    <t>Bật/tắt trọn gói cho một học sinh</t>
  </si>
  <si>
    <t>AccessPanel</t>
  </si>
  <si>
    <t>profiles.has_premium_access — mở cả những bài chưa tồn tại lúc bật.</t>
  </si>
  <si>
    <t>Soạn / sửa / xoá bài trong thư viện</t>
  </si>
  <si>
    <t>/professeur/dashboard → Builder</t>
  </si>
  <si>
    <t>Đường GHI vẫn CHƯA được thử tay đầy đủ — xem mục còn treo trong CLAUDE.md.</t>
  </si>
  <si>
    <t>/professeur/examens</t>
  </si>
  <si>
    <t>Ghép bài vào 4 phần CO/CE/PE/PO, đặt phút và điểm từng phần.</t>
  </si>
  <si>
    <t>Soạn thang chấm riêng cho một đề</t>
  </si>
  <si>
    <t>/professeur/grille</t>
  </si>
  <si>
    <t>CÀNG quan trọng khi học sinh tự chấm — thang là thứ duy nhất hướng dẫn họ.</t>
  </si>
  <si>
    <t>Viết lời giải thích, xếp theo số học sinh sai</t>
  </si>
  <si>
    <t>/professeur/loi-giai</t>
  </si>
  <si>
    <t>Thay thế trực tiếp cho chấm tay: dạy một lần cho tất cả, thay vì nhận xét từng bài.</t>
  </si>
  <si>
    <t>Đặt neo đáp án vào ngữ liệu</t>
  </si>
  <si>
    <t>/professeur/neo</t>
  </si>
  <si>
    <t>Dựng xong, 0 dữ liệu</t>
  </si>
  <si>
    <t>Chưa câu nào có neo nên chưa ai từng thấy nó chạy, kể cả chủ dự án.</t>
  </si>
  <si>
    <t>Sổ tay / mẹo</t>
  </si>
  <si>
    <t>/professeur/carnet</t>
  </si>
  <si>
    <t>/professeur/bo-the</t>
  </si>
  <si>
    <t>Đang chạy — chạy thật 21/09</t>
  </si>
  <si>
    <t>Dựng 09/09. Học sinh không còn tự tạo thẻ — chỉ giáo viên soạn, chặn ở database bằng RLS chứ không chỉ ẩn nút.</t>
  </si>
  <si>
    <t>Xem đăng ký tư vấn</t>
  </si>
  <si>
    <t>/professeur/lien-he</t>
  </si>
  <si>
    <t>Đang chạy, nhưng không có nguồn vào</t>
  </si>
  <si>
    <t>Form đã gỡ khỏi trang giới thiệu, nên chưa có đường nào để ai gửi thông tin vào.</t>
  </si>
  <si>
    <t>Nghe bản ghi âm bài nói của học sinh</t>
  </si>
  <si>
    <t>/professeur/oral</t>
  </si>
  <si>
    <t>CẦN QUYẾT</t>
  </si>
  <si>
    <t>Màn này KHÔNG cho điểm, chỉ nghe và nhắn nhận xét. Bỏ hẳn vai chấm thì nên gỡ; giữ vai kèm cặp thì giữ. Đây là ranh giới cần chủ dự án quyết.</t>
  </si>
  <si>
    <t>Chấm bài viết của học sinh</t>
  </si>
  <si>
    <t>/professeur/copies</t>
  </si>
  <si>
    <t>ĐÃ GỠ</t>
  </si>
  <si>
    <t>Không còn trong mã</t>
  </si>
  <si>
    <t>Gỡ 09/09/2026: route, mục menu, PEGrading.jsx và khoá nav.grading ở cả bốn từ điển. Gỡ CẢ mục menu chứ không giấu lối vào — check:nav bắt lỗi route không ai vào được.</t>
  </si>
  <si>
    <t>Ô « Bài cần chấm » trên trang chủ giáo viên</t>
  </si>
  <si>
    <t>/professeur/dashboard</t>
  </si>
  <si>
    <t>Con số không sai, nhưng nó đếm một việc không ai làm được nữa và tô màu cảnh báo cho nó. Danh sách « Bài nộp gần đây » ngay dưới vẫn ghi rõ bài nào chưa có điểm.</t>
  </si>
  <si>
    <t>Nhãn trạng thái trên từng dòng bài nộp</t>
  </si>
  <si>
    <t>ĐÃ ĐỔI CHỮ</t>
  </si>
  <si>
    <t>« Chờ chấm » → « Chưa chấm » (Non noté / Not marked): mô tả trạng thái thay vì hứa một hành động sẽ không xảy ra.</t>
  </si>
  <si>
    <t>MỘT CÂU PHẢI NÓI THẲNG</t>
  </si>
  <si>
    <t xml:space="preserve">Bỏ giáo viên chấm bài chưa tự động thành « AI chấm ». Chấm AI đã DỰNG (Edge Function cham-pe) nhưng CHƯA CHẠY: thiếu khoá ANTHROPIC_API_KEY, gọi vào nhận 503 CHUA_CAU_HINH_KHOA, và bảng gợi ý có 0 dòng (đo 21/09).
Nên kể từ 09/09, bài viết của học sinh chỉ còn MỘT đường: tự chấm theo grille DELF. Khoảng trống này kéo dài đúng bằng thời gian tới khi đặt khoá — việc số 1 trong sheet « Việc cần làm ».
Và 8 bài tự luận đã nộp chưa có điểm nào — không điểm giáo viên, không điểm tự chấm. Chưa ai báo gì cho người viết chúng.</t>
  </si>
  <si>
    <t>SỐ LIỆU ĐO THẬT — không con số nào ở đây là ước lượng</t>
  </si>
  <si>
    <t>Chỉ số</t>
  </si>
  <si>
    <t>Giá trị</t>
  </si>
  <si>
    <t>Cách đo</t>
  </si>
  <si>
    <t>Ngày đo</t>
  </si>
  <si>
    <t>Bài tập</t>
  </si>
  <si>
    <t>select count(*) from exercises</t>
  </si>
  <si>
    <t>21/09/2026</t>
  </si>
  <si>
    <t>Câu hỏi</t>
  </si>
  <si>
    <t>select count(*) from questions</t>
  </si>
  <si>
    <t>Câu có lời giải thích</t>
  </si>
  <si>
    <t>questions where explanation is not null</t>
  </si>
  <si>
    <t>Câu có neo ngữ liệu</t>
  </si>
  <si>
    <t>questions where evidence is not null</t>
  </si>
  <si>
    <t>Đề thi thử</t>
  </si>
  <si>
    <t>select count(*) from exams</t>
  </si>
  <si>
    <t>Bộ Flashcard (cả bốn công khai)</t>
  </si>
  <si>
    <t>select count(*) from the_bo</t>
  </si>
  <si>
    <t>22/09/2026</t>
  </si>
  <si>
    <t>Thẻ trong các bộ</t>
  </si>
  <si>
    <t>select count(*) from the_bo_the</t>
  </si>
  <si>
    <t>Thẻ SM-2 cũ (không màn nào mở)</t>
  </si>
  <si>
    <t>select count(*) from cards</t>
  </si>
  <si>
    <t>Lượt trả lời đã ghi</t>
  </si>
  <si>
    <t>select count(*) from answers</t>
  </si>
  <si>
    <t>Tài khoản</t>
  </si>
  <si>
    <t>select count(*) from profiles</t>
  </si>
  <si>
    <t>Bài tự luận CHƯA có điểm nào</t>
  </si>
  <si>
    <t>câu open, không điểm GV lẫn tự chấm. 7/8 thuộc 2 tài khoản thử của chủ dự án; 1 bài của học sinh thật, dài 12 ký tự</t>
  </si>
  <si>
    <t>Lượt ôn Flashcard đã ghi</t>
  </si>
  <si>
    <t>reviews có reps &gt; 0 trên thẻ bo_giao_vien</t>
  </si>
  <si>
    <t>Gợi ý chấm AI đã sinh</t>
  </si>
  <si>
    <t>select count(*) from pe_ai_goi_y — khoá API chưa đặt</t>
  </si>
  <si>
    <t>Tỷ lệ câu có lời giải</t>
  </si>
  <si>
    <t>= câu có lời giải ÷ tổng câu hỏi</t>
  </si>
  <si>
    <t>Số câu còn thiếu lời giải</t>
  </si>
  <si>
    <t>Trong đó 25 câu vf vốn đã có justification sẵn</t>
  </si>
  <si>
    <t>VIVOIRE — họ công bố, tôi KHÔNG kiểm chứng được</t>
  </si>
  <si>
    <t>Nguồn</t>
  </si>
  <si>
    <t>Độ tin</t>
  </si>
  <si>
    <t>56.000+ từ</t>
  </si>
  <si>
    <t>trang chủ vivoire.app</t>
  </si>
  <si>
    <t>họ tự công bố</t>
  </si>
  <si>
    <t>Bài chép chính tả</t>
  </si>
  <si>
    <t>200</t>
  </si>
  <si>
    <t>trang chủ</t>
  </si>
  <si>
    <t>Bài nghe điền từ</t>
  </si>
  <si>
    <t>Cấp độ</t>
  </si>
  <si>
    <t>A1 → C2</t>
  </si>
  <si>
    <t>Học viên một lớp</t>
  </si>
  <si>
    <t>28</t>
  </si>
  <si>
    <t>ảnh minh hoạ trên trang chủ</t>
  </si>
  <si>
    <t>ẢNH MINH HOẠ — không phải số thật</t>
  </si>
  <si>
    <t>Phản hồi AI bài nói</t>
  </si>
  <si>
    <t>Phát âm 82% · Trôi chảy 76%</t>
  </si>
  <si>
    <t>ảnh minh hoạ</t>
  </si>
  <si>
    <t>Khối đếm trên trang chủ</t>
  </si>
  <si>
    <t>hiện 0</t>
  </si>
  <si>
    <t>đọc trực tiếp DOM 09/09</t>
  </si>
  <si>
    <t>gần như chắc chắn là hiệu ứng đếm chưa chạy</t>
  </si>
  <si>
    <t>RÚT RA TỪ BẢNG — xếp theo thứ tự nên làm</t>
  </si>
  <si>
    <t>#</t>
  </si>
  <si>
    <t>Việc</t>
  </si>
  <si>
    <t>Vì sao đứng ở vị trí này</t>
  </si>
  <si>
    <t>Chạm vào đâu</t>
  </si>
  <si>
    <t>Công sức</t>
  </si>
  <si>
    <t>Đặt khoá API để bật chấm PE bằng AI</t>
  </si>
  <si>
    <t>Vẫn là việc rẻ nhất có tác động lớn nhất: mọi thứ đã dựng và đã kiểm, chỉ thiếu một khoá.</t>
  </si>
  <si>
    <t>npx supabase secrets set ANTHROPIC_API_KEY=sk-ant-…</t>
  </si>
  <si>
    <t>5 phút</t>
  </si>
  <si>
    <t>Điền email liên hệ cho FAQ và Điều khoản</t>
  </si>
  <si>
    <t>Cả hai trang tự hiện cảnh báo vàng cho tới khi có email.</t>
  </si>
  <si>
    <t>EMAIL_LIEN_HE trong src/screens/public/TrangPhapLy.jsx</t>
  </si>
  <si>
    <t>2 phút</t>
  </si>
  <si>
    <t>Mai (23/09) mở lại bộ « Thông báo ở nhà ga »</t>
  </si>
  <si>
    <t>Hai thẻ đã chấm hẹn ôn ngày 23/09. Nếu chúng hiện lại đúng ngày đó thì lịch ôn đã chạy trọn một vòng — lần đầu tiên.</t>
  </si>
  <si>
    <t>/etudiant/bo-the — nhớ Ctrl+F5</t>
  </si>
  <si>
    <t>Xem neo từ phía học sinh</t>
  </si>
  <si>
    <t>Phía máy chủ đã đo xong 22/09: chạy đúng hàm tô sáng của app trên văn bản + neo thật, 11/11 mảnh khớp từng ký tự. Còn thiếu một lần nhìn bằng mắt: mở phần chữa bài bằng tài khoản đã làm bài đó.</t>
  </si>
  <si>
    <t>Tài khoản học sinh đã làm bài đó — nhớ Ctrl+F5</t>
  </si>
  <si>
    <t>Đặt thử một neo qua giao diện giáo viên</t>
  </si>
  <si>
    <t>Lưu lời giải đã thử xong 23/09 và LƯU ĐƯỢC (207→209). Còn đường đặt neo chưa thử qua giao diện. Nhớ Ctrl+F5 trước — nguyên nhân của cả loạt lỗi cũ chính là tab chạy bản JS cũ.</t>
  </si>
  <si>
    <t>/professeur/loi-giai và /professeur/neo</t>
  </si>
  <si>
    <t>10 phút</t>
  </si>
  <si>
    <t>Quyết số phận /professeur/oral</t>
  </si>
  <si>
    <t>Màn nghe bài nói không cho điểm, chỉ nghe và nhắn nhận xét.</t>
  </si>
  <si>
    <t>App.jsx; BaiNoiGiaoVien.jsx; navItems.js</t>
  </si>
  <si>
    <t>1 buổi, sau khi quyết</t>
  </si>
  <si>
    <t>Dọn hoặc giữ hai tài khoản thử</t>
  </si>
  <si>
    <t>7 trong 8 « bài tự luận chưa chấm » thuộc về chúng, và chúng làm lệch mọi con số về học sinh.</t>
  </si>
  <si>
    <t>Quyết định — xoá tài khoản là việc không hoàn lại</t>
  </si>
  <si>
    <t>quyết định</t>
  </si>
  <si>
    <t>Cân nhắc dựng lại Chính sách bảo mật trước khi thu tiền nhiều</t>
  </si>
  <si>
    <t>Đã gỡ theo quyết định 21/09; nội dung còn trong git.</t>
  </si>
  <si>
    <t>Lấy TrangBaoMat từ commit cũ + route /bao-mat</t>
  </si>
  <si>
    <t>30 phút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</si>
</sst>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0%"/>
  </numFmts>
  <fonts count="14" x14ac:knownFonts="1">
    <font>
      <color theme="1"/>
      <family val="2"/>
      <scheme val="minor"/>
      <sz val="11"/>
      <name val="Calibri"/>
    </font>
    <font>
      <b/>
      <color rgb="FF1F3864"/>
      <sz val="16"/>
      <name val="Arial"/>
    </font>
    <font>
      <i/>
      <color rgb="FF595959"/>
      <sz val="9"/>
      <name val="Arial"/>
    </font>
    <font>
      <b/>
      <color rgb="FFFFFFFF"/>
      <sz val="10"/>
      <name val="Arial"/>
    </font>
    <font>
      <b/>
      <sz val="10"/>
      <name val="Arial"/>
    </font>
    <font>
      <sz val="10"/>
      <name val="Arial"/>
    </font>
    <font>
      <b/>
      <color rgb="FFC00000"/>
      <sz val="9"/>
      <name val="Arial"/>
    </font>
    <font>
      <b/>
      <sz val="9"/>
      <name val="Arial"/>
    </font>
    <font>
      <sz val="9"/>
      <name val="Arial"/>
    </font>
    <font>
      <b/>
      <color rgb="FF1F3864"/>
      <sz val="10"/>
      <name val="Arial"/>
    </font>
    <font>
      <color rgb="FF595959"/>
      <sz val="8"/>
      <name val="Arial"/>
    </font>
    <font>
      <b/>
      <color rgb="FF1F3864"/>
      <sz val="14"/>
      <name val="Arial"/>
    </font>
    <font>
      <b/>
      <color rgb="FFC00000"/>
      <sz val="10"/>
      <name val="Arial"/>
    </font>
    <font>
      <i/>
      <sz val="9"/>
      <name val="Arial"/>
    </font>
  </fonts>
  <fills count="7">
    <fill>
      <patternFill patternType="none"/>
    </fill>
    <fill>
      <patternFill patternType="gray125"/>
    </fill>
    <fill>
      <patternFill patternType="solid">
        <fgColor rgb="FF1F3864"/>
      </patternFill>
    </fill>
    <fill>
      <patternFill patternType="solid">
        <fgColor rgb="FFD9E2F3"/>
      </patternFill>
    </fill>
    <fill>
      <patternFill patternType="solid">
        <fgColor rgb="FFE2EFDA"/>
      </patternFill>
    </fill>
    <fill>
      <patternFill patternType="solid">
        <fgColor rgb="FFFCE4E4"/>
      </patternFill>
    </fill>
    <fill>
      <patternFill patternType="solid">
        <fgColor rgb="FFFFFF00"/>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48">
    <xf numFmtId="0" fontId="0" fillId="0" borderId="0" xfId="0"/>
    <xf numFmtId="0" fontId="1" fillId="0" borderId="0" xfId="0" applyFont="1"/>
    <xf numFmtId="0" fontId="2" fillId="0" borderId="0" xfId="0" applyFont="1"/>
    <xf numFmtId="0" fontId="3" fillId="2" borderId="1" xfId="0" applyFont="1" applyFill="1" applyBorder="1" applyAlignment="1">
      <alignment horizontal="center" vertical="center" wrapText="1"/>
    </xf>
    <xf numFmtId="0" fontId="4" fillId="0" borderId="1" xfId="0" applyFont="1" applyBorder="1"/>
    <xf numFmtId="1" fontId="5" fillId="0" borderId="1" xfId="0" applyNumberFormat="1" applyFont="1" applyBorder="1" applyAlignment="1">
      <alignment horizontal="center"/>
    </xf>
    <xf numFmtId="2" fontId="5" fillId="0" borderId="1" xfId="0" applyNumberFormat="1" applyFont="1" applyBorder="1" applyAlignment="1">
      <alignment horizontal="center"/>
    </xf>
    <xf numFmtId="2" fontId="4" fillId="0" borderId="1" xfId="0" applyNumberFormat="1" applyFont="1" applyBorder="1" applyAlignment="1">
      <alignment horizontal="center"/>
    </xf>
    <xf numFmtId="0" fontId="4" fillId="3" borderId="1" xfId="0" applyFont="1" applyFill="1" applyBorder="1" applyAlignment="1">
      <alignment horizontal="left"/>
    </xf>
    <xf numFmtId="1" fontId="4" fillId="3" borderId="1" xfId="0" applyNumberFormat="1" applyFont="1" applyFill="1" applyBorder="1" applyAlignment="1">
      <alignment horizontal="center"/>
    </xf>
    <xf numFmtId="2" fontId="4" fillId="3" borderId="1" xfId="0" applyNumberFormat="1" applyFont="1" applyFill="1" applyBorder="1" applyAlignment="1">
      <alignment horizontal="center"/>
    </xf>
    <xf numFmtId="0" fontId="6" fillId="0" borderId="0" xfId="0" applyFont="1"/>
    <xf numFmtId="0" fontId="2" fillId="0" borderId="0" xfId="0" applyFont="1" applyAlignment="1">
      <alignment vertical="top" wrapText="1"/>
    </xf>
    <xf numFmtId="0" fontId="4" fillId="0" borderId="0" xfId="0" applyFont="1"/>
    <xf numFmtId="0" fontId="7" fillId="0" borderId="0" xfId="0" applyFont="1"/>
    <xf numFmtId="0" fontId="8" fillId="0" borderId="0" xfId="0" applyFont="1"/>
    <xf numFmtId="0" fontId="9" fillId="0" borderId="0" xfId="0" applyFont="1"/>
    <xf numFmtId="0" fontId="7" fillId="0" borderId="0" xfId="0" applyFont="1" applyAlignment="1">
      <alignment vertical="top" wrapText="1"/>
    </xf>
    <xf numFmtId="0" fontId="8" fillId="0" borderId="0" xfId="0" applyFont="1" applyAlignment="1">
      <alignment vertical="top" wrapText="1"/>
    </xf>
    <xf numFmtId="0" fontId="7" fillId="0" borderId="1" xfId="0" applyFont="1" applyBorder="1" applyAlignment="1">
      <alignment vertical="top" wrapText="1"/>
    </xf>
    <xf numFmtId="0" fontId="4" fillId="0" borderId="1" xfId="0" applyFont="1" applyBorder="1" applyAlignment="1">
      <alignment vertical="top" wrapText="1"/>
    </xf>
    <xf numFmtId="0" fontId="8" fillId="0" borderId="1" xfId="0" applyFont="1" applyBorder="1" applyAlignment="1">
      <alignment vertical="top" wrapText="1"/>
    </xf>
    <xf numFmtId="0" fontId="8" fillId="0" borderId="1" xfId="0" applyFont="1" applyBorder="1" applyAlignment="1">
      <alignment horizontal="center" vertical="top" wrapText="1"/>
    </xf>
    <xf numFmtId="0" fontId="7" fillId="0" borderId="1" xfId="0" applyFont="1" applyBorder="1" applyAlignment="1">
      <alignment horizontal="center" vertical="top" wrapText="1"/>
    </xf>
    <xf numFmtId="0" fontId="10" fillId="0" borderId="1" xfId="0" applyFont="1" applyBorder="1" applyAlignment="1">
      <alignment vertical="top" wrapText="1"/>
    </xf>
    <xf numFmtId="0" fontId="7" fillId="4" borderId="1" xfId="0" applyFont="1" applyFill="1" applyBorder="1" applyAlignment="1">
      <alignment vertical="top" wrapText="1"/>
    </xf>
    <xf numFmtId="0" fontId="4" fillId="4" borderId="1" xfId="0" applyFont="1" applyFill="1" applyBorder="1" applyAlignment="1">
      <alignment vertical="top" wrapText="1"/>
    </xf>
    <xf numFmtId="0" fontId="8" fillId="4" borderId="1" xfId="0" applyFont="1" applyFill="1" applyBorder="1" applyAlignment="1">
      <alignment vertical="top" wrapText="1"/>
    </xf>
    <xf numFmtId="0" fontId="8" fillId="4" borderId="1" xfId="0" applyFont="1" applyFill="1" applyBorder="1" applyAlignment="1">
      <alignment horizontal="center" vertical="top" wrapText="1"/>
    </xf>
    <xf numFmtId="0" fontId="7" fillId="4" borderId="1" xfId="0" applyFont="1" applyFill="1" applyBorder="1" applyAlignment="1">
      <alignment horizontal="center" vertical="top" wrapText="1"/>
    </xf>
    <xf numFmtId="0" fontId="10" fillId="4" borderId="1" xfId="0" applyFont="1" applyFill="1" applyBorder="1" applyAlignment="1">
      <alignment vertical="top" wrapText="1"/>
    </xf>
    <xf numFmtId="0" fontId="7" fillId="5" borderId="1" xfId="0" applyFont="1" applyFill="1" applyBorder="1" applyAlignment="1">
      <alignment vertical="top" wrapText="1"/>
    </xf>
    <xf numFmtId="0" fontId="4" fillId="5" borderId="1" xfId="0" applyFont="1" applyFill="1" applyBorder="1" applyAlignment="1">
      <alignment vertical="top" wrapText="1"/>
    </xf>
    <xf numFmtId="0" fontId="8" fillId="5" borderId="1" xfId="0" applyFont="1" applyFill="1" applyBorder="1" applyAlignment="1">
      <alignment vertical="top" wrapText="1"/>
    </xf>
    <xf numFmtId="0" fontId="8" fillId="5" borderId="1" xfId="0" applyFont="1" applyFill="1" applyBorder="1" applyAlignment="1">
      <alignment horizontal="center" vertical="top" wrapText="1"/>
    </xf>
    <xf numFmtId="0" fontId="7" fillId="5" borderId="1" xfId="0" applyFont="1" applyFill="1" applyBorder="1" applyAlignment="1">
      <alignment horizontal="center" vertical="top" wrapText="1"/>
    </xf>
    <xf numFmtId="0" fontId="10" fillId="5" borderId="1" xfId="0" applyFont="1" applyFill="1" applyBorder="1" applyAlignment="1">
      <alignment vertical="top" wrapText="1"/>
    </xf>
    <xf numFmtId="0" fontId="11" fillId="0" borderId="0" xfId="0" applyFont="1"/>
    <xf numFmtId="0" fontId="8" fillId="6" borderId="1" xfId="0" applyFont="1" applyFill="1" applyBorder="1" applyAlignment="1">
      <alignment vertical="top" wrapText="1"/>
    </xf>
    <xf numFmtId="0" fontId="7" fillId="6" borderId="1" xfId="0" applyFont="1" applyFill="1" applyBorder="1" applyAlignment="1">
      <alignment vertical="top" wrapText="1"/>
    </xf>
    <xf numFmtId="0" fontId="12" fillId="0" borderId="0" xfId="0" applyFont="1"/>
    <xf numFmtId="0" fontId="4" fillId="0" borderId="1" xfId="0" applyFont="1" applyBorder="1" applyAlignment="1">
      <alignment vertical="top"/>
    </xf>
    <xf numFmtId="0" fontId="5" fillId="0" borderId="1" xfId="0" applyFont="1" applyBorder="1" applyAlignment="1">
      <alignment horizontal="center" vertical="top"/>
    </xf>
    <xf numFmtId="0" fontId="5" fillId="0" borderId="1" xfId="0" applyFont="1" applyBorder="1" applyAlignment="1">
      <alignment vertical="top" wrapText="1"/>
    </xf>
    <xf numFmtId="0" fontId="5" fillId="0" borderId="1" xfId="0" applyFont="1" applyBorder="1" applyAlignment="1">
      <alignment vertical="top"/>
    </xf>
    <xf numFmtId="164" fontId="0" fillId="0" borderId="0" xfId="0" applyNumberFormat="1" applyAlignment="1">
      <alignment horizontal="center"/>
    </xf>
    <xf numFmtId="0" fontId="13" fillId="0" borderId="0" xfId="0" applyFont="1"/>
    <xf numFmtId="0" fontId="0" fillId="0" borderId="0" xfId="0"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35"/>
  <sheetFormatPr defaultRowHeight="15" outlineLevelRow="0" outlineLevelCol="0" x14ac:dyDescent="55"/>
  <cols>
    <col min="1" max="1" width="26" customWidth="1"/>
    <col min="2" max="3" width="11" customWidth="1"/>
    <col min="4" max="6" width="12" customWidth="1"/>
    <col min="7" max="7" width="15" customWidth="1"/>
  </cols>
  <sheetData>
    <row r="1" spans="1:1" x14ac:dyDescent="0.25">
      <c r="A1" s="1" t="s">
        <v>0</v>
      </c>
    </row>
    <row r="2" spans="1:1" x14ac:dyDescent="0.25">
      <c r="A2" s="2" t="s">
        <v>1</v>
      </c>
    </row>
    <row r="3" spans="1:1" x14ac:dyDescent="0.25">
      <c r="A3" s="2" t="s">
        <v>2</v>
      </c>
    </row>
    <row r="4" spans="1:1" x14ac:dyDescent="0.25">
      <c r="A4" s="2" t="s">
        <v>3</v>
      </c>
    </row>
    <row r="6" ht="34" customHeight="1" spans="1:7" x14ac:dyDescent="0.25">
      <c r="A6" s="3" t="s">
        <v>4</v>
      </c>
      <c r="B6" s="3" t="s">
        <v>5</v>
      </c>
      <c r="C6" s="3" t="s">
        <v>6</v>
      </c>
      <c r="D6" s="3" t="s">
        <v>7</v>
      </c>
      <c r="E6" s="3" t="s">
        <v>8</v>
      </c>
      <c r="F6" s="3" t="s">
        <v>9</v>
      </c>
      <c r="G6" s="3" t="s">
        <v>10</v>
      </c>
    </row>
    <row r="7" ht="20" customHeight="1" spans="1:7" x14ac:dyDescent="0.25">
      <c r="A7" s="4" t="s">
        <v>11</v>
      </c>
      <c r="B7" s="5">
        <f>COUNTIF('So sánh chi tiết'!$A$2:$A$51,$A7)</f>
        <v>8</v>
      </c>
      <c r="C7" s="5">
        <f>SUMPRODUCT(('So sánh chi tiết'!$A$2:$A$51=$A7)*('So sánh chi tiết'!$D$2:$D$51&lt;&gt;"")*('So sánh chi tiết'!$F$2:$F$51&lt;&gt;""))</f>
        <v>6</v>
      </c>
      <c r="D7" s="6">
        <f>IFERROR(SUMPRODUCT(('So sánh chi tiết'!$A$2:$A$51=$A7)*('So sánh chi tiết'!$D$2:$D$51&lt;&gt;"")*('So sánh chi tiết'!$F$2:$F$51&lt;&gt;"")*'So sánh chi tiết'!$D$2:$D$51)/SUMPRODUCT(('So sánh chi tiết'!$A$2:$A$51=$A7)*('So sánh chi tiết'!$D$2:$D$51&lt;&gt;"")*('So sánh chi tiết'!$F$2:$F$51&lt;&gt;"")),"")</f>
        <v>1.6666666666666667</v>
      </c>
      <c r="E7" s="6">
        <f>IFERROR(SUMPRODUCT(('So sánh chi tiết'!$A$2:$A$51=$A7)*('So sánh chi tiết'!$D$2:$D$51&lt;&gt;"")*('So sánh chi tiết'!$F$2:$F$51&lt;&gt;"")*'So sánh chi tiết'!$F$2:$F$51)/SUMPRODUCT(('So sánh chi tiết'!$A$2:$A$51=$A7)*('So sánh chi tiết'!$D$2:$D$51&lt;&gt;"")*('So sánh chi tiết'!$F$2:$F$51&lt;&gt;"")),"")</f>
        <v>1</v>
      </c>
      <c r="F7" s="6">
        <f>IFERROR(E7-D7,"")</f>
        <v>-0.6666666666666667</v>
      </c>
      <c r="G7" s="7" t="str">
        <f>IF(OR(C7&lt;3,F7=""),"quá ít mục",IF(F7&gt;0.25,"FRACILE",IF(F7&lt;-0.25,"Vivoire","ngang nhau")))</f>
        <v>Vivoire</v>
      </c>
    </row>
    <row r="8" ht="20" customHeight="1" spans="1:7" x14ac:dyDescent="0.25">
      <c r="A8" s="4" t="s">
        <v>12</v>
      </c>
      <c r="B8" s="5">
        <f>COUNTIF('So sánh chi tiết'!$A$2:$A$51,$A8)</f>
        <v>6</v>
      </c>
      <c r="C8" s="5">
        <f>SUMPRODUCT(('So sánh chi tiết'!$A$2:$A$51=$A8)*('So sánh chi tiết'!$D$2:$D$51&lt;&gt;"")*('So sánh chi tiết'!$F$2:$F$51&lt;&gt;""))</f>
        <v>1</v>
      </c>
      <c r="D8" s="6">
        <f>IFERROR(SUMPRODUCT(('So sánh chi tiết'!$A$2:$A$51=$A8)*('So sánh chi tiết'!$D$2:$D$51&lt;&gt;"")*('So sánh chi tiết'!$F$2:$F$51&lt;&gt;"")*'So sánh chi tiết'!$D$2:$D$51)/SUMPRODUCT(('So sánh chi tiết'!$A$2:$A$51=$A8)*('So sánh chi tiết'!$D$2:$D$51&lt;&gt;"")*('So sánh chi tiết'!$F$2:$F$51&lt;&gt;"")),"")</f>
        <v>2</v>
      </c>
      <c r="E8" s="6">
        <f>IFERROR(SUMPRODUCT(('So sánh chi tiết'!$A$2:$A$51=$A8)*('So sánh chi tiết'!$D$2:$D$51&lt;&gt;"")*('So sánh chi tiết'!$F$2:$F$51&lt;&gt;"")*'So sánh chi tiết'!$F$2:$F$51)/SUMPRODUCT(('So sánh chi tiết'!$A$2:$A$51=$A8)*('So sánh chi tiết'!$D$2:$D$51&lt;&gt;"")*('So sánh chi tiết'!$F$2:$F$51&lt;&gt;"")),"")</f>
        <v>1</v>
      </c>
      <c r="F8" s="6">
        <f>IFERROR(E8-D8,"")</f>
        <v>-1</v>
      </c>
      <c r="G8" s="7" t="str">
        <f>IF(OR(C8&lt;3,F8=""),"quá ít mục",IF(F8&gt;0.25,"FRACILE",IF(F8&lt;-0.25,"Vivoire","ngang nhau")))</f>
        <v>quá ít mục</v>
      </c>
    </row>
    <row r="9" ht="20" customHeight="1" spans="1:7" x14ac:dyDescent="0.25">
      <c r="A9" s="4" t="s">
        <v>13</v>
      </c>
      <c r="B9" s="5">
        <f>COUNTIF('So sánh chi tiết'!$A$2:$A$51,$A9)</f>
        <v>7</v>
      </c>
      <c r="C9" s="5">
        <f>SUMPRODUCT(('So sánh chi tiết'!$A$2:$A$51=$A9)*('So sánh chi tiết'!$D$2:$D$51&lt;&gt;"")*('So sánh chi tiết'!$F$2:$F$51&lt;&gt;""))</f>
        <v>5</v>
      </c>
      <c r="D9" s="6">
        <f>IFERROR(SUMPRODUCT(('So sánh chi tiết'!$A$2:$A$51=$A9)*('So sánh chi tiết'!$D$2:$D$51&lt;&gt;"")*('So sánh chi tiết'!$F$2:$F$51&lt;&gt;"")*'So sánh chi tiết'!$D$2:$D$51)/SUMPRODUCT(('So sánh chi tiết'!$A$2:$A$51=$A9)*('So sánh chi tiết'!$D$2:$D$51&lt;&gt;"")*('So sánh chi tiết'!$F$2:$F$51&lt;&gt;"")),"")</f>
        <v>2</v>
      </c>
      <c r="E9" s="6">
        <f>IFERROR(SUMPRODUCT(('So sánh chi tiết'!$A$2:$A$51=$A9)*('So sánh chi tiết'!$D$2:$D$51&lt;&gt;"")*('So sánh chi tiết'!$F$2:$F$51&lt;&gt;"")*'So sánh chi tiết'!$F$2:$F$51)/SUMPRODUCT(('So sánh chi tiết'!$A$2:$A$51=$A9)*('So sánh chi tiết'!$D$2:$D$51&lt;&gt;"")*('So sánh chi tiết'!$F$2:$F$51&lt;&gt;"")),"")</f>
        <v>0.6</v>
      </c>
      <c r="F9" s="6">
        <f>IFERROR(E9-D9,"")</f>
        <v>-1.4</v>
      </c>
      <c r="G9" s="7" t="str">
        <f>IF(OR(C9&lt;3,F9=""),"quá ít mục",IF(F9&gt;0.25,"FRACILE",IF(F9&lt;-0.25,"Vivoire","ngang nhau")))</f>
        <v>Vivoire</v>
      </c>
    </row>
    <row r="10" ht="20" customHeight="1" spans="1:7" x14ac:dyDescent="0.25">
      <c r="A10" s="4" t="s">
        <v>14</v>
      </c>
      <c r="B10" s="5">
        <f>COUNTIF('So sánh chi tiết'!$A$2:$A$51,$A10)</f>
        <v>6</v>
      </c>
      <c r="C10" s="5">
        <f>SUMPRODUCT(('So sánh chi tiết'!$A$2:$A$51=$A10)*('So sánh chi tiết'!$D$2:$D$51&lt;&gt;"")*('So sánh chi tiết'!$F$2:$F$51&lt;&gt;""))</f>
        <v>3</v>
      </c>
      <c r="D10" s="6">
        <f>IFERROR(SUMPRODUCT(('So sánh chi tiết'!$A$2:$A$51=$A10)*('So sánh chi tiết'!$D$2:$D$51&lt;&gt;"")*('So sánh chi tiết'!$F$2:$F$51&lt;&gt;"")*'So sánh chi tiết'!$D$2:$D$51)/SUMPRODUCT(('So sánh chi tiết'!$A$2:$A$51=$A10)*('So sánh chi tiết'!$D$2:$D$51&lt;&gt;"")*('So sánh chi tiết'!$F$2:$F$51&lt;&gt;"")),"")</f>
        <v>2</v>
      </c>
      <c r="E10" s="6">
        <f>IFERROR(SUMPRODUCT(('So sánh chi tiết'!$A$2:$A$51=$A10)*('So sánh chi tiết'!$D$2:$D$51&lt;&gt;"")*('So sánh chi tiết'!$F$2:$F$51&lt;&gt;"")*'So sánh chi tiết'!$F$2:$F$51)/SUMPRODUCT(('So sánh chi tiết'!$A$2:$A$51=$A10)*('So sánh chi tiết'!$D$2:$D$51&lt;&gt;"")*('So sánh chi tiết'!$F$2:$F$51&lt;&gt;"")),"")</f>
        <v>1.3333333333333333</v>
      </c>
      <c r="F10" s="6">
        <f>IFERROR(E10-D10,"")</f>
        <v>-0.6666666666666667</v>
      </c>
      <c r="G10" s="7" t="str">
        <f>IF(OR(C10&lt;3,F10=""),"quá ít mục",IF(F10&gt;0.25,"FRACILE",IF(F10&lt;-0.25,"Vivoire","ngang nhau")))</f>
        <v>Vivoire</v>
      </c>
    </row>
    <row r="11" ht="20" customHeight="1" spans="1:7" x14ac:dyDescent="0.25">
      <c r="A11" s="4" t="s">
        <v>15</v>
      </c>
      <c r="B11" s="5">
        <f>COUNTIF('So sánh chi tiết'!$A$2:$A$51,$A11)</f>
        <v>11</v>
      </c>
      <c r="C11" s="5">
        <f>SUMPRODUCT(('So sánh chi tiết'!$A$2:$A$51=$A11)*('So sánh chi tiết'!$D$2:$D$51&lt;&gt;"")*('So sánh chi tiết'!$F$2:$F$51&lt;&gt;""))</f>
        <v>5</v>
      </c>
      <c r="D11" s="6">
        <f>IFERROR(SUMPRODUCT(('So sánh chi tiết'!$A$2:$A$51=$A11)*('So sánh chi tiết'!$D$2:$D$51&lt;&gt;"")*('So sánh chi tiết'!$F$2:$F$51&lt;&gt;"")*'So sánh chi tiết'!$D$2:$D$51)/SUMPRODUCT(('So sánh chi tiết'!$A$2:$A$51=$A11)*('So sánh chi tiết'!$D$2:$D$51&lt;&gt;"")*('So sánh chi tiết'!$F$2:$F$51&lt;&gt;"")),"")</f>
        <v>2</v>
      </c>
      <c r="E11" s="6">
        <f>IFERROR(SUMPRODUCT(('So sánh chi tiết'!$A$2:$A$51=$A11)*('So sánh chi tiết'!$D$2:$D$51&lt;&gt;"")*('So sánh chi tiết'!$F$2:$F$51&lt;&gt;"")*'So sánh chi tiết'!$F$2:$F$51)/SUMPRODUCT(('So sánh chi tiết'!$A$2:$A$51=$A11)*('So sánh chi tiết'!$D$2:$D$51&lt;&gt;"")*('So sánh chi tiết'!$F$2:$F$51&lt;&gt;"")),"")</f>
        <v>1</v>
      </c>
      <c r="F11" s="6">
        <f>IFERROR(E11-D11,"")</f>
        <v>-1</v>
      </c>
      <c r="G11" s="7" t="str">
        <f>IF(OR(C11&lt;3,F11=""),"quá ít mục",IF(F11&gt;0.25,"FRACILE",IF(F11&lt;-0.25,"Vivoire","ngang nhau")))</f>
        <v>Vivoire</v>
      </c>
    </row>
    <row r="12" ht="20" customHeight="1" spans="1:7" x14ac:dyDescent="0.25">
      <c r="A12" s="4" t="s">
        <v>16</v>
      </c>
      <c r="B12" s="5">
        <f>COUNTIF('So sánh chi tiết'!$A$2:$A$51,$A12)</f>
        <v>6</v>
      </c>
      <c r="C12" s="5">
        <f>SUMPRODUCT(('So sánh chi tiết'!$A$2:$A$51=$A12)*('So sánh chi tiết'!$D$2:$D$51&lt;&gt;"")*('So sánh chi tiết'!$F$2:$F$51&lt;&gt;""))</f>
        <v>5</v>
      </c>
      <c r="D12" s="6">
        <f>IFERROR(SUMPRODUCT(('So sánh chi tiết'!$A$2:$A$51=$A12)*('So sánh chi tiết'!$D$2:$D$51&lt;&gt;"")*('So sánh chi tiết'!$F$2:$F$51&lt;&gt;"")*'So sánh chi tiết'!$D$2:$D$51)/SUMPRODUCT(('So sánh chi tiết'!$A$2:$A$51=$A12)*('So sánh chi tiết'!$D$2:$D$51&lt;&gt;"")*('So sánh chi tiết'!$F$2:$F$51&lt;&gt;"")),"")</f>
        <v>1.8</v>
      </c>
      <c r="E12" s="6">
        <f>IFERROR(SUMPRODUCT(('So sánh chi tiết'!$A$2:$A$51=$A12)*('So sánh chi tiết'!$D$2:$D$51&lt;&gt;"")*('So sánh chi tiết'!$F$2:$F$51&lt;&gt;"")*'So sánh chi tiết'!$F$2:$F$51)/SUMPRODUCT(('So sánh chi tiết'!$A$2:$A$51=$A12)*('So sánh chi tiết'!$D$2:$D$51&lt;&gt;"")*('So sánh chi tiết'!$F$2:$F$51&lt;&gt;"")),"")</f>
        <v>1</v>
      </c>
      <c r="F12" s="6">
        <f>IFERROR(E12-D12,"")</f>
        <v>-0.8</v>
      </c>
      <c r="G12" s="7" t="str">
        <f>IF(OR(C12&lt;3,F12=""),"quá ít mục",IF(F12&gt;0.25,"FRACILE",IF(F12&lt;-0.25,"Vivoire","ngang nhau")))</f>
        <v>Vivoire</v>
      </c>
    </row>
    <row r="13" ht="20" customHeight="1" spans="1:7" x14ac:dyDescent="0.25">
      <c r="A13" s="4" t="s">
        <v>17</v>
      </c>
      <c r="B13" s="5">
        <f>COUNTIF('So sánh chi tiết'!$A$2:$A$51,$A13)</f>
        <v>6</v>
      </c>
      <c r="C13" s="5">
        <f>SUMPRODUCT(('So sánh chi tiết'!$A$2:$A$51=$A13)*('So sánh chi tiết'!$D$2:$D$51&lt;&gt;"")*('So sánh chi tiết'!$F$2:$F$51&lt;&gt;""))</f>
        <v>5</v>
      </c>
      <c r="D13" s="6">
        <f>IFERROR(SUMPRODUCT(('So sánh chi tiết'!$A$2:$A$51=$A13)*('So sánh chi tiết'!$D$2:$D$51&lt;&gt;"")*('So sánh chi tiết'!$F$2:$F$51&lt;&gt;"")*'So sánh chi tiết'!$D$2:$D$51)/SUMPRODUCT(('So sánh chi tiết'!$A$2:$A$51=$A13)*('So sánh chi tiết'!$D$2:$D$51&lt;&gt;"")*('So sánh chi tiết'!$F$2:$F$51&lt;&gt;"")),"")</f>
        <v>1.8</v>
      </c>
      <c r="E13" s="6">
        <f>IFERROR(SUMPRODUCT(('So sánh chi tiết'!$A$2:$A$51=$A13)*('So sánh chi tiết'!$D$2:$D$51&lt;&gt;"")*('So sánh chi tiết'!$F$2:$F$51&lt;&gt;"")*'So sánh chi tiết'!$F$2:$F$51)/SUMPRODUCT(('So sánh chi tiết'!$A$2:$A$51=$A13)*('So sánh chi tiết'!$D$2:$D$51&lt;&gt;"")*('So sánh chi tiết'!$F$2:$F$51&lt;&gt;"")),"")</f>
        <v>1</v>
      </c>
      <c r="F13" s="6">
        <f>IFERROR(E13-D13,"")</f>
        <v>-0.8</v>
      </c>
      <c r="G13" s="7" t="str">
        <f>IF(OR(C13&lt;3,F13=""),"quá ít mục",IF(F13&gt;0.25,"FRACILE",IF(F13&lt;-0.25,"Vivoire","ngang nhau")))</f>
        <v>Vivoire</v>
      </c>
    </row>
    <row r="14" spans="1:7" x14ac:dyDescent="0.25">
      <c r="A14" s="8" t="s">
        <v>18</v>
      </c>
      <c r="B14" s="9">
        <f>SUM(B7:B13)</f>
        <v>50</v>
      </c>
      <c r="C14" s="9">
        <f>SUM(C7:C13)</f>
        <v>30</v>
      </c>
      <c r="D14" s="10">
        <f>IFERROR(SUMPRODUCT(('So sánh chi tiết'!$D$2:$D$51&lt;&gt;"")*('So sánh chi tiết'!$F$2:$F$51&lt;&gt;"")*'So sánh chi tiết'!$D$2:$D$51)/SUMPRODUCT(('So sánh chi tiết'!$D$2:$D$51&lt;&gt;"")*('So sánh chi tiết'!$F$2:$F$51&lt;&gt;"")),"")</f>
        <v>1.8666666666666667</v>
      </c>
      <c r="E14" s="10">
        <f>IFERROR(SUMPRODUCT(('So sánh chi tiết'!$D$2:$D$51&lt;&gt;"")*('So sánh chi tiết'!$F$2:$F$51&lt;&gt;"")*'So sánh chi tiết'!$F$2:$F$51)/SUMPRODUCT(('So sánh chi tiết'!$D$2:$D$51&lt;&gt;"")*('So sánh chi tiết'!$F$2:$F$51&lt;&gt;"")),"")</f>
        <v>0.9666666666666667</v>
      </c>
      <c r="F14" s="10">
        <f>E14-D14</f>
        <v>-0.9</v>
      </c>
      <c r="G14" s="10" t="str">
        <f>IF(F14&gt;0.25,"FRACILE",IF(F14&lt;-0.25,"Vivoire","ngang nhau"))</f>
        <v>Vivoire</v>
      </c>
    </row>
    <row r="16" spans="1:1" x14ac:dyDescent="0.25">
      <c r="A16" s="11" t="s">
        <v>19</v>
      </c>
    </row>
    <row r="17" ht="46" customHeight="1" spans="1:7" x14ac:dyDescent="0.25">
      <c r="A17" s="12" t="s">
        <v>20</v>
      </c>
      <c r="B17" s="12"/>
      <c r="C17" s="12"/>
      <c r="D17" s="12"/>
      <c r="E17" s="12"/>
      <c r="F17" s="12"/>
      <c r="G17" s="12"/>
    </row>
    <row r="18" spans="1:7" x14ac:dyDescent="0.25">
      <c r="A18" s="12"/>
      <c r="B18" s="12"/>
      <c r="C18" s="12"/>
      <c r="D18" s="12"/>
      <c r="E18" s="12"/>
      <c r="F18" s="12"/>
      <c r="G18" s="12"/>
    </row>
    <row r="19" spans="1:7" x14ac:dyDescent="0.25">
      <c r="A19" s="12"/>
      <c r="B19" s="12"/>
      <c r="C19" s="12"/>
      <c r="D19" s="12"/>
      <c r="E19" s="12"/>
      <c r="F19" s="12"/>
      <c r="G19" s="12"/>
    </row>
    <row r="20" spans="1:1" x14ac:dyDescent="0.25">
      <c r="A20" s="13" t="s">
        <v>21</v>
      </c>
    </row>
    <row r="21" spans="1:2" x14ac:dyDescent="0.25">
      <c r="A21" s="14" t="s">
        <v>22</v>
      </c>
      <c r="B21" s="15" t="s">
        <v>23</v>
      </c>
    </row>
    <row r="22" spans="1:2" x14ac:dyDescent="0.25">
      <c r="A22" s="14" t="s">
        <v>24</v>
      </c>
      <c r="B22" s="15" t="s">
        <v>25</v>
      </c>
    </row>
    <row r="23" spans="1:2" x14ac:dyDescent="0.25">
      <c r="A23" s="14" t="s">
        <v>26</v>
      </c>
      <c r="B23" s="15" t="s">
        <v>27</v>
      </c>
    </row>
    <row r="24" spans="1:2" x14ac:dyDescent="0.25">
      <c r="A24" s="14" t="s">
        <v>28</v>
      </c>
      <c r="B24" s="15" t="s">
        <v>29</v>
      </c>
    </row>
    <row r="27" spans="1:1" x14ac:dyDescent="0.25">
      <c r="A27" s="16" t="s">
        <v>30</v>
      </c>
    </row>
    <row r="28" ht="28" customHeight="1" spans="1:7" x14ac:dyDescent="0.25">
      <c r="A28" s="17" t="s">
        <v>31</v>
      </c>
      <c r="B28" s="18" t="s">
        <v>32</v>
      </c>
      <c r="C28" s="18"/>
      <c r="D28" s="18"/>
      <c r="E28" s="18"/>
      <c r="F28" s="18"/>
      <c r="G28" s="18"/>
    </row>
    <row r="29" ht="28" customHeight="1" spans="1:7" x14ac:dyDescent="0.25">
      <c r="A29" s="17" t="s">
        <v>33</v>
      </c>
      <c r="B29" s="18" t="s">
        <v>34</v>
      </c>
      <c r="C29" s="18"/>
      <c r="D29" s="18"/>
      <c r="E29" s="18"/>
      <c r="F29" s="18"/>
      <c r="G29" s="18"/>
    </row>
    <row r="30" ht="28" customHeight="1" spans="1:7" x14ac:dyDescent="0.25">
      <c r="A30" s="17" t="s">
        <v>35</v>
      </c>
      <c r="B30" s="18" t="s">
        <v>36</v>
      </c>
      <c r="C30" s="18"/>
      <c r="D30" s="18"/>
      <c r="E30" s="18"/>
      <c r="F30" s="18"/>
      <c r="G30" s="18"/>
    </row>
    <row r="31" ht="28" customHeight="1" spans="1:7" x14ac:dyDescent="0.25">
      <c r="A31" s="17" t="s">
        <v>37</v>
      </c>
      <c r="B31" s="18" t="s">
        <v>38</v>
      </c>
      <c r="C31" s="18"/>
      <c r="D31" s="18"/>
      <c r="E31" s="18"/>
      <c r="F31" s="18"/>
      <c r="G31" s="18"/>
    </row>
    <row r="32" ht="28" customHeight="1" spans="1:7" x14ac:dyDescent="0.25">
      <c r="A32" s="17" t="s">
        <v>39</v>
      </c>
      <c r="B32" s="18" t="s">
        <v>40</v>
      </c>
      <c r="C32" s="18"/>
      <c r="D32" s="18"/>
      <c r="E32" s="18"/>
      <c r="F32" s="18"/>
      <c r="G32" s="18"/>
    </row>
    <row r="33" ht="28" customHeight="1" spans="1:7" x14ac:dyDescent="0.25">
      <c r="A33" s="17" t="s">
        <v>41</v>
      </c>
      <c r="B33" s="18" t="s">
        <v>42</v>
      </c>
      <c r="C33" s="18"/>
      <c r="D33" s="18"/>
      <c r="E33" s="18"/>
      <c r="F33" s="18"/>
      <c r="G33" s="18"/>
    </row>
    <row r="34" ht="28" customHeight="1" spans="1:7" x14ac:dyDescent="0.25">
      <c r="A34" s="17" t="s">
        <v>43</v>
      </c>
      <c r="B34" s="18" t="s">
        <v>44</v>
      </c>
      <c r="C34" s="18"/>
      <c r="D34" s="18"/>
      <c r="E34" s="18"/>
      <c r="F34" s="18"/>
      <c r="G34" s="18"/>
    </row>
    <row r="35" ht="28" customHeight="1" spans="1:7" x14ac:dyDescent="0.25">
      <c r="A35" s="17" t="s">
        <v>45</v>
      </c>
      <c r="B35" s="18" t="s">
        <v>46</v>
      </c>
      <c r="C35" s="18"/>
      <c r="D35" s="18"/>
      <c r="E35" s="18"/>
      <c r="F35" s="18"/>
      <c r="G35" s="18"/>
    </row>
  </sheetData>
  <mergeCells count="9">
    <mergeCell ref="A17:G19"/>
    <mergeCell ref="B28:G28"/>
    <mergeCell ref="B29:G29"/>
    <mergeCell ref="B30:G30"/>
    <mergeCell ref="B31:G31"/>
    <mergeCell ref="B32:G32"/>
    <mergeCell ref="B33:G33"/>
    <mergeCell ref="B34:G34"/>
    <mergeCell ref="B35:G35"/>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51"/>
  <sheetViews>
    <sheetView workbookViewId="0">
      <pane xSplit="2" ySplit="1" topLeftCell="C2" activePane="bottomRight" state="frozen"/>
      <selection pane="bottomRight"/>
    </sheetView>
  </sheetViews>
  <sheetFormatPr defaultRowHeight="15" outlineLevelRow="0" outlineLevelCol="0" x14ac:dyDescent="55"/>
  <cols>
    <col min="1" max="1" width="20" customWidth="1"/>
    <col min="2" max="2" width="34" customWidth="1"/>
    <col min="3" max="3" width="38" customWidth="1"/>
    <col min="4" max="4" width="8" customWidth="1"/>
    <col min="5" max="5" width="44" customWidth="1"/>
    <col min="6" max="6" width="8" customWidth="1"/>
    <col min="7" max="7" width="11" customWidth="1"/>
    <col min="8" max="8" width="24" customWidth="1"/>
    <col min="9" max="9" width="46" customWidth="1"/>
  </cols>
  <sheetData>
    <row r="1" ht="34" customHeight="1" spans="1:9" x14ac:dyDescent="0.25">
      <c r="A1" s="3" t="s">
        <v>4</v>
      </c>
      <c r="B1" s="3" t="s">
        <v>47</v>
      </c>
      <c r="C1" s="3" t="s">
        <v>48</v>
      </c>
      <c r="D1" s="3" t="s">
        <v>49</v>
      </c>
      <c r="E1" s="3" t="s">
        <v>50</v>
      </c>
      <c r="F1" s="3" t="s">
        <v>51</v>
      </c>
      <c r="G1" s="3" t="s">
        <v>52</v>
      </c>
      <c r="H1" s="3" t="s">
        <v>53</v>
      </c>
      <c r="I1" s="3" t="s">
        <v>54</v>
      </c>
    </row>
    <row r="2" ht="44" customHeight="1" spans="1:9" x14ac:dyDescent="0.25">
      <c r="A2" s="19" t="s">
        <v>11</v>
      </c>
      <c r="B2" s="20" t="s">
        <v>55</v>
      </c>
      <c r="C2" s="21" t="s">
        <v>56</v>
      </c>
      <c r="D2" s="22">
        <v>2</v>
      </c>
      <c r="E2" s="21" t="s">
        <v>57</v>
      </c>
      <c r="F2" s="22">
        <v>2</v>
      </c>
      <c r="G2" s="23" t="str">
        <f>IF(OR(D2="",F2=""),"chưa rõ",IF(F2&gt;D2,"FRACILE",IF(D2&gt;F2,"Vivoire","hoà")))</f>
        <v>hoà</v>
      </c>
      <c r="H2" s="19" t="s">
        <v>58</v>
      </c>
      <c r="I2" s="24" t="s">
        <v>59</v>
      </c>
    </row>
    <row r="3" ht="44" customHeight="1" spans="1:9" x14ac:dyDescent="0.25">
      <c r="A3" s="25" t="s">
        <v>11</v>
      </c>
      <c r="B3" s="26" t="s">
        <v>60</v>
      </c>
      <c r="C3" s="27" t="s">
        <v>61</v>
      </c>
      <c r="D3" s="28"/>
      <c r="E3" s="27" t="s">
        <v>62</v>
      </c>
      <c r="F3" s="28">
        <v>2</v>
      </c>
      <c r="G3" s="29" t="str">
        <f>IF(OR(D3="",F3=""),"chưa rõ",IF(F3&gt;D3,"FRACILE",IF(D3&gt;F3,"Vivoire","hoà")))</f>
        <v>chưa rõ</v>
      </c>
      <c r="H3" s="25" t="s">
        <v>58</v>
      </c>
      <c r="I3" s="30" t="s">
        <v>63</v>
      </c>
    </row>
    <row r="4" ht="44" customHeight="1" spans="1:9" x14ac:dyDescent="0.25">
      <c r="A4" s="19" t="s">
        <v>11</v>
      </c>
      <c r="B4" s="20" t="s">
        <v>64</v>
      </c>
      <c r="C4" s="21" t="s">
        <v>65</v>
      </c>
      <c r="D4" s="22">
        <v>2</v>
      </c>
      <c r="E4" s="21" t="s">
        <v>66</v>
      </c>
      <c r="F4" s="22">
        <v>1</v>
      </c>
      <c r="G4" s="23" t="str">
        <f>IF(OR(D4="",F4=""),"chưa rõ",IF(F4&gt;D4,"FRACILE",IF(D4&gt;F4,"Vivoire","hoà")))</f>
        <v>Vivoire</v>
      </c>
      <c r="H4" s="19" t="s">
        <v>67</v>
      </c>
      <c r="I4" s="24" t="s">
        <v>68</v>
      </c>
    </row>
    <row r="5" ht="44" customHeight="1" spans="1:9" x14ac:dyDescent="0.25">
      <c r="A5" s="19" t="s">
        <v>11</v>
      </c>
      <c r="B5" s="20" t="s">
        <v>69</v>
      </c>
      <c r="C5" s="21" t="s">
        <v>70</v>
      </c>
      <c r="D5" s="22">
        <v>2</v>
      </c>
      <c r="E5" s="21" t="s">
        <v>71</v>
      </c>
      <c r="F5" s="22">
        <v>1</v>
      </c>
      <c r="G5" s="23" t="str">
        <f>IF(OR(D5="",F5=""),"chưa rõ",IF(F5&gt;D5,"FRACILE",IF(D5&gt;F5,"Vivoire","hoà")))</f>
        <v>Vivoire</v>
      </c>
      <c r="H5" s="19" t="s">
        <v>58</v>
      </c>
      <c r="I5" s="24" t="s">
        <v>72</v>
      </c>
    </row>
    <row r="6" ht="44" customHeight="1" spans="1:9" x14ac:dyDescent="0.25">
      <c r="A6" s="31" t="s">
        <v>11</v>
      </c>
      <c r="B6" s="32" t="s">
        <v>73</v>
      </c>
      <c r="C6" s="33" t="s">
        <v>74</v>
      </c>
      <c r="D6" s="34">
        <v>2</v>
      </c>
      <c r="E6" s="33" t="s">
        <v>75</v>
      </c>
      <c r="F6" s="34">
        <v>0</v>
      </c>
      <c r="G6" s="35" t="str">
        <f>IF(OR(D6="",F6=""),"chưa rõ",IF(F6&gt;D6,"FRACILE",IF(D6&gt;F6,"Vivoire","hoà")))</f>
        <v>Vivoire</v>
      </c>
      <c r="H6" s="31" t="s">
        <v>76</v>
      </c>
      <c r="I6" s="36" t="s">
        <v>77</v>
      </c>
    </row>
    <row r="7" ht="44" customHeight="1" spans="1:9" x14ac:dyDescent="0.25">
      <c r="A7" s="31" t="s">
        <v>11</v>
      </c>
      <c r="B7" s="32" t="s">
        <v>78</v>
      </c>
      <c r="C7" s="33" t="s">
        <v>79</v>
      </c>
      <c r="D7" s="34">
        <v>2</v>
      </c>
      <c r="E7" s="33" t="s">
        <v>80</v>
      </c>
      <c r="F7" s="34">
        <v>0</v>
      </c>
      <c r="G7" s="35" t="str">
        <f>IF(OR(D7="",F7=""),"chưa rõ",IF(F7&gt;D7,"FRACILE",IF(D7&gt;F7,"Vivoire","hoà")))</f>
        <v>Vivoire</v>
      </c>
      <c r="H7" s="31" t="s">
        <v>81</v>
      </c>
      <c r="I7" s="36" t="s">
        <v>82</v>
      </c>
    </row>
    <row r="8" ht="44" customHeight="1" spans="1:9" x14ac:dyDescent="0.25">
      <c r="A8" s="25" t="s">
        <v>11</v>
      </c>
      <c r="B8" s="26" t="s">
        <v>83</v>
      </c>
      <c r="C8" s="27" t="s">
        <v>84</v>
      </c>
      <c r="D8" s="28"/>
      <c r="E8" s="27" t="s">
        <v>85</v>
      </c>
      <c r="F8" s="28">
        <v>2</v>
      </c>
      <c r="G8" s="29" t="str">
        <f>IF(OR(D8="",F8=""),"chưa rõ",IF(F8&gt;D8,"FRACILE",IF(D8&gt;F8,"Vivoire","hoà")))</f>
        <v>chưa rõ</v>
      </c>
      <c r="H8" s="25" t="s">
        <v>58</v>
      </c>
      <c r="I8" s="30" t="s">
        <v>86</v>
      </c>
    </row>
    <row r="9" ht="44" customHeight="1" spans="1:9" x14ac:dyDescent="0.25">
      <c r="A9" s="25" t="s">
        <v>11</v>
      </c>
      <c r="B9" s="26" t="s">
        <v>87</v>
      </c>
      <c r="C9" s="27" t="s">
        <v>23</v>
      </c>
      <c r="D9" s="28">
        <v>0</v>
      </c>
      <c r="E9" s="27" t="s">
        <v>88</v>
      </c>
      <c r="F9" s="28">
        <v>2</v>
      </c>
      <c r="G9" s="29" t="str">
        <f>IF(OR(D9="",F9=""),"chưa rõ",IF(F9&gt;D9,"FRACILE",IF(D9&gt;F9,"Vivoire","hoà")))</f>
        <v>FRACILE</v>
      </c>
      <c r="H9" s="25" t="s">
        <v>89</v>
      </c>
      <c r="I9" s="30" t="s">
        <v>90</v>
      </c>
    </row>
    <row r="10" ht="44" customHeight="1" spans="1:9" x14ac:dyDescent="0.25">
      <c r="A10" s="19" t="s">
        <v>12</v>
      </c>
      <c r="B10" s="20" t="s">
        <v>91</v>
      </c>
      <c r="C10" s="21" t="s">
        <v>92</v>
      </c>
      <c r="D10" s="22">
        <v>2</v>
      </c>
      <c r="E10" s="21" t="s">
        <v>93</v>
      </c>
      <c r="F10" s="22">
        <v>1</v>
      </c>
      <c r="G10" s="23" t="str">
        <f>IF(OR(D10="",F10=""),"chưa rõ",IF(F10&gt;D10,"FRACILE",IF(D10&gt;F10,"Vivoire","hoà")))</f>
        <v>Vivoire</v>
      </c>
      <c r="H10" s="19" t="s">
        <v>58</v>
      </c>
      <c r="I10" s="24" t="s">
        <v>94</v>
      </c>
    </row>
    <row r="11" ht="44" customHeight="1" spans="1:9" x14ac:dyDescent="0.25">
      <c r="A11" s="25" t="s">
        <v>12</v>
      </c>
      <c r="B11" s="26" t="s">
        <v>95</v>
      </c>
      <c r="C11" s="27" t="s">
        <v>96</v>
      </c>
      <c r="D11" s="28"/>
      <c r="E11" s="27" t="s">
        <v>97</v>
      </c>
      <c r="F11" s="28">
        <v>2</v>
      </c>
      <c r="G11" s="29" t="str">
        <f>IF(OR(D11="",F11=""),"chưa rõ",IF(F11&gt;D11,"FRACILE",IF(D11&gt;F11,"Vivoire","hoà")))</f>
        <v>chưa rõ</v>
      </c>
      <c r="H11" s="25" t="s">
        <v>58</v>
      </c>
      <c r="I11" s="30" t="s">
        <v>98</v>
      </c>
    </row>
    <row r="12" ht="44" customHeight="1" spans="1:9" x14ac:dyDescent="0.25">
      <c r="A12" s="25" t="s">
        <v>12</v>
      </c>
      <c r="B12" s="26" t="s">
        <v>99</v>
      </c>
      <c r="C12" s="27" t="s">
        <v>96</v>
      </c>
      <c r="D12" s="28"/>
      <c r="E12" s="27" t="s">
        <v>100</v>
      </c>
      <c r="F12" s="28">
        <v>2</v>
      </c>
      <c r="G12" s="29" t="str">
        <f>IF(OR(D12="",F12=""),"chưa rõ",IF(F12&gt;D12,"FRACILE",IF(D12&gt;F12,"Vivoire","hoà")))</f>
        <v>chưa rõ</v>
      </c>
      <c r="H12" s="25" t="s">
        <v>58</v>
      </c>
      <c r="I12" s="30" t="s">
        <v>101</v>
      </c>
    </row>
    <row r="13" ht="44" customHeight="1" spans="1:9" x14ac:dyDescent="0.25">
      <c r="A13" s="25" t="s">
        <v>12</v>
      </c>
      <c r="B13" s="26" t="s">
        <v>102</v>
      </c>
      <c r="C13" s="27" t="s">
        <v>96</v>
      </c>
      <c r="D13" s="28"/>
      <c r="E13" s="27" t="s">
        <v>103</v>
      </c>
      <c r="F13" s="28">
        <v>2</v>
      </c>
      <c r="G13" s="29" t="str">
        <f>IF(OR(D13="",F13=""),"chưa rõ",IF(F13&gt;D13,"FRACILE",IF(D13&gt;F13,"Vivoire","hoà")))</f>
        <v>chưa rõ</v>
      </c>
      <c r="H13" s="25" t="s">
        <v>58</v>
      </c>
      <c r="I13" s="30" t="s">
        <v>104</v>
      </c>
    </row>
    <row r="14" ht="44" customHeight="1" spans="1:9" x14ac:dyDescent="0.25">
      <c r="A14" s="25" t="s">
        <v>12</v>
      </c>
      <c r="B14" s="26" t="s">
        <v>105</v>
      </c>
      <c r="C14" s="27" t="s">
        <v>96</v>
      </c>
      <c r="D14" s="28"/>
      <c r="E14" s="27" t="s">
        <v>106</v>
      </c>
      <c r="F14" s="28">
        <v>2</v>
      </c>
      <c r="G14" s="29" t="str">
        <f>IF(OR(D14="",F14=""),"chưa rõ",IF(F14&gt;D14,"FRACILE",IF(D14&gt;F14,"Vivoire","hoà")))</f>
        <v>chưa rõ</v>
      </c>
      <c r="H14" s="25" t="s">
        <v>58</v>
      </c>
      <c r="I14" s="30" t="s">
        <v>107</v>
      </c>
    </row>
    <row r="15" ht="44" customHeight="1" spans="1:9" x14ac:dyDescent="0.25">
      <c r="A15" s="25" t="s">
        <v>12</v>
      </c>
      <c r="B15" s="26" t="s">
        <v>108</v>
      </c>
      <c r="C15" s="27" t="s">
        <v>96</v>
      </c>
      <c r="D15" s="28"/>
      <c r="E15" s="27" t="s">
        <v>109</v>
      </c>
      <c r="F15" s="28">
        <v>2</v>
      </c>
      <c r="G15" s="29" t="str">
        <f>IF(OR(D15="",F15=""),"chưa rõ",IF(F15&gt;D15,"FRACILE",IF(D15&gt;F15,"Vivoire","hoà")))</f>
        <v>chưa rõ</v>
      </c>
      <c r="H15" s="25" t="s">
        <v>58</v>
      </c>
      <c r="I15" s="30" t="s">
        <v>110</v>
      </c>
    </row>
    <row r="16" ht="44" customHeight="1" spans="1:9" x14ac:dyDescent="0.25">
      <c r="A16" s="19" t="s">
        <v>13</v>
      </c>
      <c r="B16" s="20" t="s">
        <v>111</v>
      </c>
      <c r="C16" s="21" t="s">
        <v>112</v>
      </c>
      <c r="D16" s="22">
        <v>2</v>
      </c>
      <c r="E16" s="21" t="s">
        <v>113</v>
      </c>
      <c r="F16" s="22">
        <v>1</v>
      </c>
      <c r="G16" s="23" t="str">
        <f>IF(OR(D16="",F16=""),"chưa rõ",IF(F16&gt;D16,"FRACILE",IF(D16&gt;F16,"Vivoire","hoà")))</f>
        <v>Vivoire</v>
      </c>
      <c r="H16" s="19" t="s">
        <v>114</v>
      </c>
      <c r="I16" s="24" t="s">
        <v>115</v>
      </c>
    </row>
    <row r="17" ht="44" customHeight="1" spans="1:9" x14ac:dyDescent="0.25">
      <c r="A17" s="19" t="s">
        <v>13</v>
      </c>
      <c r="B17" s="20" t="s">
        <v>116</v>
      </c>
      <c r="C17" s="21" t="s">
        <v>117</v>
      </c>
      <c r="D17" s="22">
        <v>2</v>
      </c>
      <c r="E17" s="21" t="s">
        <v>118</v>
      </c>
      <c r="F17" s="22">
        <v>1</v>
      </c>
      <c r="G17" s="23" t="str">
        <f>IF(OR(D17="",F17=""),"chưa rõ",IF(F17&gt;D17,"FRACILE",IF(D17&gt;F17,"Vivoire","hoà")))</f>
        <v>Vivoire</v>
      </c>
      <c r="H17" s="19" t="s">
        <v>58</v>
      </c>
      <c r="I17" s="24" t="s">
        <v>119</v>
      </c>
    </row>
    <row r="18" ht="44" customHeight="1" spans="1:9" x14ac:dyDescent="0.25">
      <c r="A18" s="25" t="s">
        <v>13</v>
      </c>
      <c r="B18" s="26" t="s">
        <v>120</v>
      </c>
      <c r="C18" s="27" t="s">
        <v>121</v>
      </c>
      <c r="D18" s="28"/>
      <c r="E18" s="27" t="s">
        <v>122</v>
      </c>
      <c r="F18" s="28">
        <v>2</v>
      </c>
      <c r="G18" s="29" t="str">
        <f>IF(OR(D18="",F18=""),"chưa rõ",IF(F18&gt;D18,"FRACILE",IF(D18&gt;F18,"Vivoire","hoà")))</f>
        <v>chưa rõ</v>
      </c>
      <c r="H18" s="25" t="s">
        <v>58</v>
      </c>
      <c r="I18" s="30" t="s">
        <v>123</v>
      </c>
    </row>
    <row r="19" ht="44" customHeight="1" spans="1:9" x14ac:dyDescent="0.25">
      <c r="A19" s="31" t="s">
        <v>13</v>
      </c>
      <c r="B19" s="32" t="s">
        <v>124</v>
      </c>
      <c r="C19" s="33" t="s">
        <v>125</v>
      </c>
      <c r="D19" s="34">
        <v>2</v>
      </c>
      <c r="E19" s="33" t="s">
        <v>126</v>
      </c>
      <c r="F19" s="34">
        <v>0</v>
      </c>
      <c r="G19" s="35" t="str">
        <f>IF(OR(D19="",F19=""),"chưa rõ",IF(F19&gt;D19,"FRACILE",IF(D19&gt;F19,"Vivoire","hoà")))</f>
        <v>Vivoire</v>
      </c>
      <c r="H19" s="31" t="s">
        <v>127</v>
      </c>
      <c r="I19" s="36" t="s">
        <v>128</v>
      </c>
    </row>
    <row r="20" ht="44" customHeight="1" spans="1:9" x14ac:dyDescent="0.25">
      <c r="A20" s="31" t="s">
        <v>13</v>
      </c>
      <c r="B20" s="32" t="s">
        <v>129</v>
      </c>
      <c r="C20" s="33" t="s">
        <v>103</v>
      </c>
      <c r="D20" s="34">
        <v>2</v>
      </c>
      <c r="E20" s="33" t="s">
        <v>126</v>
      </c>
      <c r="F20" s="34">
        <v>0</v>
      </c>
      <c r="G20" s="35" t="str">
        <f>IF(OR(D20="",F20=""),"chưa rõ",IF(F20&gt;D20,"FRACILE",IF(D20&gt;F20,"Vivoire","hoà")))</f>
        <v>Vivoire</v>
      </c>
      <c r="H20" s="31" t="s">
        <v>127</v>
      </c>
      <c r="I20" s="36" t="s">
        <v>130</v>
      </c>
    </row>
    <row r="21" ht="44" customHeight="1" spans="1:9" x14ac:dyDescent="0.25">
      <c r="A21" s="19" t="s">
        <v>13</v>
      </c>
      <c r="B21" s="20" t="s">
        <v>131</v>
      </c>
      <c r="C21" s="21" t="s">
        <v>132</v>
      </c>
      <c r="D21" s="22">
        <v>2</v>
      </c>
      <c r="E21" s="21" t="s">
        <v>133</v>
      </c>
      <c r="F21" s="22">
        <v>1</v>
      </c>
      <c r="G21" s="23" t="str">
        <f>IF(OR(D21="",F21=""),"chưa rõ",IF(F21&gt;D21,"FRACILE",IF(D21&gt;F21,"Vivoire","hoà")))</f>
        <v>Vivoire</v>
      </c>
      <c r="H21" s="19" t="s">
        <v>58</v>
      </c>
      <c r="I21" s="24" t="s">
        <v>134</v>
      </c>
    </row>
    <row r="22" ht="44" customHeight="1" spans="1:9" x14ac:dyDescent="0.25">
      <c r="A22" s="25" t="s">
        <v>13</v>
      </c>
      <c r="B22" s="26" t="s">
        <v>135</v>
      </c>
      <c r="C22" s="27" t="s">
        <v>96</v>
      </c>
      <c r="D22" s="28"/>
      <c r="E22" s="27" t="s">
        <v>136</v>
      </c>
      <c r="F22" s="28">
        <v>2</v>
      </c>
      <c r="G22" s="29" t="str">
        <f>IF(OR(D22="",F22=""),"chưa rõ",IF(F22&gt;D22,"FRACILE",IF(D22&gt;F22,"Vivoire","hoà")))</f>
        <v>chưa rõ</v>
      </c>
      <c r="H22" s="25" t="s">
        <v>58</v>
      </c>
      <c r="I22" s="30" t="s">
        <v>137</v>
      </c>
    </row>
    <row r="23" ht="44" customHeight="1" spans="1:9" x14ac:dyDescent="0.25">
      <c r="A23" s="19" t="s">
        <v>14</v>
      </c>
      <c r="B23" s="20" t="s">
        <v>138</v>
      </c>
      <c r="C23" s="21" t="s">
        <v>139</v>
      </c>
      <c r="D23" s="22">
        <v>2</v>
      </c>
      <c r="E23" s="21" t="s">
        <v>140</v>
      </c>
      <c r="F23" s="22">
        <v>2</v>
      </c>
      <c r="G23" s="23" t="str">
        <f>IF(OR(D23="",F23=""),"chưa rõ",IF(F23&gt;D23,"FRACILE",IF(D23&gt;F23,"Vivoire","hoà")))</f>
        <v>hoà</v>
      </c>
      <c r="H23" s="19" t="s">
        <v>141</v>
      </c>
      <c r="I23" s="24" t="s">
        <v>142</v>
      </c>
    </row>
    <row r="24" ht="44" customHeight="1" spans="1:9" x14ac:dyDescent="0.25">
      <c r="A24" s="19" t="s">
        <v>14</v>
      </c>
      <c r="B24" s="20" t="s">
        <v>143</v>
      </c>
      <c r="C24" s="21" t="s">
        <v>144</v>
      </c>
      <c r="D24" s="22"/>
      <c r="E24" s="21" t="s">
        <v>145</v>
      </c>
      <c r="F24" s="22">
        <v>1</v>
      </c>
      <c r="G24" s="23" t="str">
        <f>IF(OR(D24="",F24=""),"chưa rõ",IF(F24&gt;D24,"FRACILE",IF(D24&gt;F24,"Vivoire","hoà")))</f>
        <v>chưa rõ</v>
      </c>
      <c r="H24" s="19" t="s">
        <v>146</v>
      </c>
      <c r="I24" s="24" t="s">
        <v>147</v>
      </c>
    </row>
    <row r="25" ht="44" customHeight="1" spans="1:9" x14ac:dyDescent="0.25">
      <c r="A25" s="25" t="s">
        <v>14</v>
      </c>
      <c r="B25" s="26" t="s">
        <v>148</v>
      </c>
      <c r="C25" s="27" t="s">
        <v>96</v>
      </c>
      <c r="D25" s="28"/>
      <c r="E25" s="27" t="s">
        <v>149</v>
      </c>
      <c r="F25" s="28">
        <v>2</v>
      </c>
      <c r="G25" s="29" t="str">
        <f>IF(OR(D25="",F25=""),"chưa rõ",IF(F25&gt;D25,"FRACILE",IF(D25&gt;F25,"Vivoire","hoà")))</f>
        <v>chưa rõ</v>
      </c>
      <c r="H25" s="25" t="s">
        <v>58</v>
      </c>
      <c r="I25" s="30" t="s">
        <v>150</v>
      </c>
    </row>
    <row r="26" ht="44" customHeight="1" spans="1:9" x14ac:dyDescent="0.25">
      <c r="A26" s="19" t="s">
        <v>14</v>
      </c>
      <c r="B26" s="20" t="s">
        <v>151</v>
      </c>
      <c r="C26" s="21" t="s">
        <v>152</v>
      </c>
      <c r="D26" s="22">
        <v>2</v>
      </c>
      <c r="E26" s="21" t="s">
        <v>153</v>
      </c>
      <c r="F26" s="22">
        <v>2</v>
      </c>
      <c r="G26" s="23" t="str">
        <f>IF(OR(D26="",F26=""),"chưa rõ",IF(F26&gt;D26,"FRACILE",IF(D26&gt;F26,"Vivoire","hoà")))</f>
        <v>hoà</v>
      </c>
      <c r="H26" s="19" t="s">
        <v>58</v>
      </c>
      <c r="I26" s="24" t="s">
        <v>154</v>
      </c>
    </row>
    <row r="27" ht="44" customHeight="1" spans="1:9" x14ac:dyDescent="0.25">
      <c r="A27" s="31" t="s">
        <v>14</v>
      </c>
      <c r="B27" s="32" t="s">
        <v>155</v>
      </c>
      <c r="C27" s="33" t="s">
        <v>156</v>
      </c>
      <c r="D27" s="34">
        <v>2</v>
      </c>
      <c r="E27" s="33" t="s">
        <v>126</v>
      </c>
      <c r="F27" s="34">
        <v>0</v>
      </c>
      <c r="G27" s="35" t="str">
        <f>IF(OR(D27="",F27=""),"chưa rõ",IF(F27&gt;D27,"FRACILE",IF(D27&gt;F27,"Vivoire","hoà")))</f>
        <v>Vivoire</v>
      </c>
      <c r="H27" s="31" t="s">
        <v>127</v>
      </c>
      <c r="I27" s="36" t="s">
        <v>130</v>
      </c>
    </row>
    <row r="28" ht="44" customHeight="1" spans="1:9" x14ac:dyDescent="0.25">
      <c r="A28" s="19" t="s">
        <v>14</v>
      </c>
      <c r="B28" s="20" t="s">
        <v>157</v>
      </c>
      <c r="C28" s="21" t="s">
        <v>96</v>
      </c>
      <c r="D28" s="22"/>
      <c r="E28" s="21" t="s">
        <v>158</v>
      </c>
      <c r="F28" s="22">
        <v>1</v>
      </c>
      <c r="G28" s="23" t="str">
        <f>IF(OR(D28="",F28=""),"chưa rõ",IF(F28&gt;D28,"FRACILE",IF(D28&gt;F28,"Vivoire","hoà")))</f>
        <v>chưa rõ</v>
      </c>
      <c r="H28" s="19" t="s">
        <v>159</v>
      </c>
      <c r="I28" s="24" t="s">
        <v>160</v>
      </c>
    </row>
    <row r="29" ht="44" customHeight="1" spans="1:9" x14ac:dyDescent="0.25">
      <c r="A29" s="25" t="s">
        <v>15</v>
      </c>
      <c r="B29" s="26" t="s">
        <v>161</v>
      </c>
      <c r="C29" s="27" t="s">
        <v>96</v>
      </c>
      <c r="D29" s="28"/>
      <c r="E29" s="27" t="s">
        <v>162</v>
      </c>
      <c r="F29" s="28">
        <v>2</v>
      </c>
      <c r="G29" s="29" t="str">
        <f>IF(OR(D29="",F29=""),"chưa rõ",IF(F29&gt;D29,"FRACILE",IF(D29&gt;F29,"Vivoire","hoà")))</f>
        <v>chưa rõ</v>
      </c>
      <c r="H29" s="25" t="s">
        <v>163</v>
      </c>
      <c r="I29" s="30" t="s">
        <v>164</v>
      </c>
    </row>
    <row r="30" ht="44" customHeight="1" spans="1:9" x14ac:dyDescent="0.25">
      <c r="A30" s="25" t="s">
        <v>15</v>
      </c>
      <c r="B30" s="26" t="s">
        <v>165</v>
      </c>
      <c r="C30" s="27" t="s">
        <v>96</v>
      </c>
      <c r="D30" s="28"/>
      <c r="E30" s="27" t="s">
        <v>166</v>
      </c>
      <c r="F30" s="28">
        <v>2</v>
      </c>
      <c r="G30" s="29" t="str">
        <f>IF(OR(D30="",F30=""),"chưa rõ",IF(F30&gt;D30,"FRACILE",IF(D30&gt;F30,"Vivoire","hoà")))</f>
        <v>chưa rõ</v>
      </c>
      <c r="H30" s="25" t="s">
        <v>163</v>
      </c>
      <c r="I30" s="30" t="s">
        <v>167</v>
      </c>
    </row>
    <row r="31" ht="44" customHeight="1" spans="1:9" x14ac:dyDescent="0.25">
      <c r="A31" s="25" t="s">
        <v>15</v>
      </c>
      <c r="B31" s="26" t="s">
        <v>168</v>
      </c>
      <c r="C31" s="27" t="s">
        <v>96</v>
      </c>
      <c r="D31" s="28"/>
      <c r="E31" s="27" t="s">
        <v>169</v>
      </c>
      <c r="F31" s="28">
        <v>2</v>
      </c>
      <c r="G31" s="29" t="str">
        <f>IF(OR(D31="",F31=""),"chưa rõ",IF(F31&gt;D31,"FRACILE",IF(D31&gt;F31,"Vivoire","hoà")))</f>
        <v>chưa rõ</v>
      </c>
      <c r="H31" s="25" t="s">
        <v>163</v>
      </c>
      <c r="I31" s="30" t="s">
        <v>170</v>
      </c>
    </row>
    <row r="32" ht="44" customHeight="1" spans="1:9" x14ac:dyDescent="0.25">
      <c r="A32" s="25" t="s">
        <v>15</v>
      </c>
      <c r="B32" s="26" t="s">
        <v>171</v>
      </c>
      <c r="C32" s="27" t="s">
        <v>96</v>
      </c>
      <c r="D32" s="28"/>
      <c r="E32" s="27" t="s">
        <v>172</v>
      </c>
      <c r="F32" s="28">
        <v>2</v>
      </c>
      <c r="G32" s="29" t="str">
        <f>IF(OR(D32="",F32=""),"chưa rõ",IF(F32&gt;D32,"FRACILE",IF(D32&gt;F32,"Vivoire","hoà")))</f>
        <v>chưa rõ</v>
      </c>
      <c r="H32" s="25" t="s">
        <v>163</v>
      </c>
      <c r="I32" s="30" t="s">
        <v>173</v>
      </c>
    </row>
    <row r="33" ht="44" customHeight="1" spans="1:9" x14ac:dyDescent="0.25">
      <c r="A33" s="25" t="s">
        <v>15</v>
      </c>
      <c r="B33" s="26" t="s">
        <v>174</v>
      </c>
      <c r="C33" s="27" t="s">
        <v>96</v>
      </c>
      <c r="D33" s="28"/>
      <c r="E33" s="27" t="s">
        <v>175</v>
      </c>
      <c r="F33" s="28">
        <v>2</v>
      </c>
      <c r="G33" s="29" t="str">
        <f>IF(OR(D33="",F33=""),"chưa rõ",IF(F33&gt;D33,"FRACILE",IF(D33&gt;F33,"Vivoire","hoà")))</f>
        <v>chưa rõ</v>
      </c>
      <c r="H33" s="25" t="s">
        <v>163</v>
      </c>
      <c r="I33" s="30" t="s">
        <v>176</v>
      </c>
    </row>
    <row r="34" ht="44" customHeight="1" spans="1:9" x14ac:dyDescent="0.25">
      <c r="A34" s="19" t="s">
        <v>15</v>
      </c>
      <c r="B34" s="20" t="s">
        <v>177</v>
      </c>
      <c r="C34" s="21" t="s">
        <v>103</v>
      </c>
      <c r="D34" s="22">
        <v>2</v>
      </c>
      <c r="E34" s="21" t="s">
        <v>103</v>
      </c>
      <c r="F34" s="22">
        <v>2</v>
      </c>
      <c r="G34" s="23" t="str">
        <f>IF(OR(D34="",F34=""),"chưa rõ",IF(F34&gt;D34,"FRACILE",IF(D34&gt;F34,"Vivoire","hoà")))</f>
        <v>hoà</v>
      </c>
      <c r="H34" s="19" t="s">
        <v>163</v>
      </c>
      <c r="I34" s="24" t="s">
        <v>178</v>
      </c>
    </row>
    <row r="35" ht="44" customHeight="1" spans="1:9" x14ac:dyDescent="0.25">
      <c r="A35" s="31" t="s">
        <v>15</v>
      </c>
      <c r="B35" s="32" t="s">
        <v>179</v>
      </c>
      <c r="C35" s="33" t="s">
        <v>180</v>
      </c>
      <c r="D35" s="34">
        <v>2</v>
      </c>
      <c r="E35" s="33" t="s">
        <v>181</v>
      </c>
      <c r="F35" s="34">
        <v>0</v>
      </c>
      <c r="G35" s="35" t="str">
        <f>IF(OR(D35="",F35=""),"chưa rõ",IF(F35&gt;D35,"FRACILE",IF(D35&gt;F35,"Vivoire","hoà")))</f>
        <v>Vivoire</v>
      </c>
      <c r="H35" s="31" t="s">
        <v>81</v>
      </c>
      <c r="I35" s="36" t="s">
        <v>182</v>
      </c>
    </row>
    <row r="36" ht="44" customHeight="1" spans="1:9" x14ac:dyDescent="0.25">
      <c r="A36" s="19" t="s">
        <v>15</v>
      </c>
      <c r="B36" s="20" t="s">
        <v>183</v>
      </c>
      <c r="C36" s="21" t="s">
        <v>103</v>
      </c>
      <c r="D36" s="22">
        <v>2</v>
      </c>
      <c r="E36" s="21" t="s">
        <v>184</v>
      </c>
      <c r="F36" s="22">
        <v>2</v>
      </c>
      <c r="G36" s="23" t="str">
        <f>IF(OR(D36="",F36=""),"chưa rõ",IF(F36&gt;D36,"FRACILE",IF(D36&gt;F36,"Vivoire","hoà")))</f>
        <v>hoà</v>
      </c>
      <c r="H36" s="19" t="s">
        <v>163</v>
      </c>
      <c r="I36" s="24" t="s">
        <v>185</v>
      </c>
    </row>
    <row r="37" ht="44" customHeight="1" spans="1:9" x14ac:dyDescent="0.25">
      <c r="A37" s="31" t="s">
        <v>15</v>
      </c>
      <c r="B37" s="32" t="s">
        <v>186</v>
      </c>
      <c r="C37" s="33" t="s">
        <v>103</v>
      </c>
      <c r="D37" s="34">
        <v>2</v>
      </c>
      <c r="E37" s="33" t="s">
        <v>126</v>
      </c>
      <c r="F37" s="34">
        <v>0</v>
      </c>
      <c r="G37" s="35" t="str">
        <f>IF(OR(D37="",F37=""),"chưa rõ",IF(F37&gt;D37,"FRACILE",IF(D37&gt;F37,"Vivoire","hoà")))</f>
        <v>Vivoire</v>
      </c>
      <c r="H37" s="31" t="s">
        <v>127</v>
      </c>
      <c r="I37" s="36" t="s">
        <v>130</v>
      </c>
    </row>
    <row r="38" ht="44" customHeight="1" spans="1:9" x14ac:dyDescent="0.25">
      <c r="A38" s="19" t="s">
        <v>15</v>
      </c>
      <c r="B38" s="20" t="s">
        <v>187</v>
      </c>
      <c r="C38" s="21" t="s">
        <v>188</v>
      </c>
      <c r="D38" s="22">
        <v>2</v>
      </c>
      <c r="E38" s="21" t="s">
        <v>189</v>
      </c>
      <c r="F38" s="22">
        <v>1</v>
      </c>
      <c r="G38" s="23" t="str">
        <f>IF(OR(D38="",F38=""),"chưa rõ",IF(F38&gt;D38,"FRACILE",IF(D38&gt;F38,"Vivoire","hoà")))</f>
        <v>Vivoire</v>
      </c>
      <c r="H38" s="19" t="s">
        <v>190</v>
      </c>
      <c r="I38" s="24" t="s">
        <v>191</v>
      </c>
    </row>
    <row r="39" ht="44" customHeight="1" spans="1:9" x14ac:dyDescent="0.25">
      <c r="A39" s="19" t="s">
        <v>15</v>
      </c>
      <c r="B39" s="20" t="s">
        <v>192</v>
      </c>
      <c r="C39" s="21" t="s">
        <v>121</v>
      </c>
      <c r="D39" s="22"/>
      <c r="E39" s="21" t="s">
        <v>193</v>
      </c>
      <c r="F39" s="22">
        <v>1</v>
      </c>
      <c r="G39" s="23" t="str">
        <f>IF(OR(D39="",F39=""),"chưa rõ",IF(F39&gt;D39,"FRACILE",IF(D39&gt;F39,"Vivoire","hoà")))</f>
        <v>chưa rõ</v>
      </c>
      <c r="H39" s="19" t="s">
        <v>58</v>
      </c>
      <c r="I39" s="24" t="s">
        <v>194</v>
      </c>
    </row>
    <row r="40" ht="44" customHeight="1" spans="1:9" x14ac:dyDescent="0.25">
      <c r="A40" s="19" t="s">
        <v>16</v>
      </c>
      <c r="B40" s="20" t="s">
        <v>195</v>
      </c>
      <c r="C40" s="21" t="s">
        <v>103</v>
      </c>
      <c r="D40" s="22">
        <v>2</v>
      </c>
      <c r="E40" s="21" t="s">
        <v>103</v>
      </c>
      <c r="F40" s="22">
        <v>2</v>
      </c>
      <c r="G40" s="23" t="str">
        <f>IF(OR(D40="",F40=""),"chưa rõ",IF(F40&gt;D40,"FRACILE",IF(D40&gt;F40,"Vivoire","hoà")))</f>
        <v>hoà</v>
      </c>
      <c r="H40" s="19" t="s">
        <v>58</v>
      </c>
      <c r="I40" s="24" t="s">
        <v>196</v>
      </c>
    </row>
    <row r="41" ht="44" customHeight="1" spans="1:9" x14ac:dyDescent="0.25">
      <c r="A41" s="31" t="s">
        <v>16</v>
      </c>
      <c r="B41" s="32" t="s">
        <v>197</v>
      </c>
      <c r="C41" s="33" t="s">
        <v>198</v>
      </c>
      <c r="D41" s="34">
        <v>2</v>
      </c>
      <c r="E41" s="33" t="s">
        <v>126</v>
      </c>
      <c r="F41" s="34">
        <v>0</v>
      </c>
      <c r="G41" s="35" t="str">
        <f>IF(OR(D41="",F41=""),"chưa rõ",IF(F41&gt;D41,"FRACILE",IF(D41&gt;F41,"Vivoire","hoà")))</f>
        <v>Vivoire</v>
      </c>
      <c r="H41" s="31" t="s">
        <v>127</v>
      </c>
      <c r="I41" s="36" t="s">
        <v>130</v>
      </c>
    </row>
    <row r="42" ht="44" customHeight="1" spans="1:9" x14ac:dyDescent="0.25">
      <c r="A42" s="31" t="s">
        <v>16</v>
      </c>
      <c r="B42" s="32" t="s">
        <v>199</v>
      </c>
      <c r="C42" s="33" t="s">
        <v>200</v>
      </c>
      <c r="D42" s="34">
        <v>2</v>
      </c>
      <c r="E42" s="33" t="s">
        <v>126</v>
      </c>
      <c r="F42" s="34">
        <v>0</v>
      </c>
      <c r="G42" s="35" t="str">
        <f>IF(OR(D42="",F42=""),"chưa rõ",IF(F42&gt;D42,"FRACILE",IF(D42&gt;F42,"Vivoire","hoà")))</f>
        <v>Vivoire</v>
      </c>
      <c r="H42" s="31" t="s">
        <v>127</v>
      </c>
      <c r="I42" s="36" t="s">
        <v>130</v>
      </c>
    </row>
    <row r="43" ht="44" customHeight="1" spans="1:9" x14ac:dyDescent="0.25">
      <c r="A43" s="19" t="s">
        <v>16</v>
      </c>
      <c r="B43" s="20" t="s">
        <v>201</v>
      </c>
      <c r="C43" s="21" t="s">
        <v>103</v>
      </c>
      <c r="D43" s="22">
        <v>2</v>
      </c>
      <c r="E43" s="21" t="s">
        <v>202</v>
      </c>
      <c r="F43" s="22">
        <v>1</v>
      </c>
      <c r="G43" s="23" t="str">
        <f>IF(OR(D43="",F43=""),"chưa rõ",IF(F43&gt;D43,"FRACILE",IF(D43&gt;F43,"Vivoire","hoà")))</f>
        <v>Vivoire</v>
      </c>
      <c r="H43" s="19" t="s">
        <v>58</v>
      </c>
      <c r="I43" s="24" t="s">
        <v>130</v>
      </c>
    </row>
    <row r="44" ht="44" customHeight="1" spans="1:9" x14ac:dyDescent="0.25">
      <c r="A44" s="25" t="s">
        <v>16</v>
      </c>
      <c r="B44" s="26" t="s">
        <v>203</v>
      </c>
      <c r="C44" s="27" t="s">
        <v>204</v>
      </c>
      <c r="D44" s="28">
        <v>1</v>
      </c>
      <c r="E44" s="27" t="s">
        <v>205</v>
      </c>
      <c r="F44" s="28">
        <v>2</v>
      </c>
      <c r="G44" s="29" t="str">
        <f>IF(OR(D44="",F44=""),"chưa rõ",IF(F44&gt;D44,"FRACILE",IF(D44&gt;F44,"Vivoire","hoà")))</f>
        <v>FRACILE</v>
      </c>
      <c r="H44" s="25" t="s">
        <v>58</v>
      </c>
      <c r="I44" s="30" t="s">
        <v>206</v>
      </c>
    </row>
    <row r="45" ht="44" customHeight="1" spans="1:9" x14ac:dyDescent="0.25">
      <c r="A45" s="25" t="s">
        <v>16</v>
      </c>
      <c r="B45" s="26" t="s">
        <v>207</v>
      </c>
      <c r="C45" s="27" t="s">
        <v>84</v>
      </c>
      <c r="D45" s="28"/>
      <c r="E45" s="27" t="s">
        <v>208</v>
      </c>
      <c r="F45" s="28">
        <v>2</v>
      </c>
      <c r="G45" s="29" t="str">
        <f>IF(OR(D45="",F45=""),"chưa rõ",IF(F45&gt;D45,"FRACILE",IF(D45&gt;F45,"Vivoire","hoà")))</f>
        <v>chưa rõ</v>
      </c>
      <c r="H45" s="25" t="s">
        <v>58</v>
      </c>
      <c r="I45" s="30" t="s">
        <v>209</v>
      </c>
    </row>
    <row r="46" ht="44" customHeight="1" spans="1:9" x14ac:dyDescent="0.25">
      <c r="A46" s="19" t="s">
        <v>17</v>
      </c>
      <c r="B46" s="20" t="s">
        <v>210</v>
      </c>
      <c r="C46" s="21" t="s">
        <v>103</v>
      </c>
      <c r="D46" s="22">
        <v>2</v>
      </c>
      <c r="E46" s="21" t="s">
        <v>211</v>
      </c>
      <c r="F46" s="22">
        <v>1</v>
      </c>
      <c r="G46" s="23" t="str">
        <f>IF(OR(D46="",F46=""),"chưa rõ",IF(F46&gt;D46,"FRACILE",IF(D46&gt;F46,"Vivoire","hoà")))</f>
        <v>Vivoire</v>
      </c>
      <c r="H46" s="19" t="s">
        <v>212</v>
      </c>
      <c r="I46" s="24" t="s">
        <v>213</v>
      </c>
    </row>
    <row r="47" ht="44" customHeight="1" spans="1:9" x14ac:dyDescent="0.25">
      <c r="A47" s="19" t="s">
        <v>17</v>
      </c>
      <c r="B47" s="20" t="s">
        <v>214</v>
      </c>
      <c r="C47" s="21" t="s">
        <v>103</v>
      </c>
      <c r="D47" s="22">
        <v>2</v>
      </c>
      <c r="E47" s="21" t="s">
        <v>215</v>
      </c>
      <c r="F47" s="22">
        <v>1</v>
      </c>
      <c r="G47" s="23" t="str">
        <f>IF(OR(D47="",F47=""),"chưa rõ",IF(F47&gt;D47,"FRACILE",IF(D47&gt;F47,"Vivoire","hoà")))</f>
        <v>Vivoire</v>
      </c>
      <c r="H47" s="19" t="s">
        <v>216</v>
      </c>
      <c r="I47" s="24" t="s">
        <v>217</v>
      </c>
    </row>
    <row r="48" ht="44" customHeight="1" spans="1:9" x14ac:dyDescent="0.25">
      <c r="A48" s="31" t="s">
        <v>17</v>
      </c>
      <c r="B48" s="32" t="s">
        <v>37</v>
      </c>
      <c r="C48" s="33" t="s">
        <v>103</v>
      </c>
      <c r="D48" s="34">
        <v>2</v>
      </c>
      <c r="E48" s="33" t="s">
        <v>218</v>
      </c>
      <c r="F48" s="34">
        <v>0</v>
      </c>
      <c r="G48" s="35" t="str">
        <f>IF(OR(D48="",F48=""),"chưa rõ",IF(F48&gt;D48,"FRACILE",IF(D48&gt;F48,"Vivoire","hoà")))</f>
        <v>Vivoire</v>
      </c>
      <c r="H48" s="31" t="s">
        <v>219</v>
      </c>
      <c r="I48" s="36" t="s">
        <v>220</v>
      </c>
    </row>
    <row r="49" ht="44" customHeight="1" spans="1:9" x14ac:dyDescent="0.25">
      <c r="A49" s="19" t="s">
        <v>17</v>
      </c>
      <c r="B49" s="20" t="s">
        <v>221</v>
      </c>
      <c r="C49" s="21" t="s">
        <v>222</v>
      </c>
      <c r="D49" s="22">
        <v>2</v>
      </c>
      <c r="E49" s="21" t="s">
        <v>223</v>
      </c>
      <c r="F49" s="22">
        <v>1</v>
      </c>
      <c r="G49" s="23" t="str">
        <f>IF(OR(D49="",F49=""),"chưa rõ",IF(F49&gt;D49,"FRACILE",IF(D49&gt;F49,"Vivoire","hoà")))</f>
        <v>Vivoire</v>
      </c>
      <c r="H49" s="19" t="s">
        <v>58</v>
      </c>
      <c r="I49" s="24" t="s">
        <v>224</v>
      </c>
    </row>
    <row r="50" ht="44" customHeight="1" spans="1:9" x14ac:dyDescent="0.25">
      <c r="A50" s="25" t="s">
        <v>17</v>
      </c>
      <c r="B50" s="26" t="s">
        <v>225</v>
      </c>
      <c r="C50" s="27" t="s">
        <v>226</v>
      </c>
      <c r="D50" s="28">
        <v>1</v>
      </c>
      <c r="E50" s="27" t="s">
        <v>227</v>
      </c>
      <c r="F50" s="28">
        <v>2</v>
      </c>
      <c r="G50" s="29" t="str">
        <f>IF(OR(D50="",F50=""),"chưa rõ",IF(F50&gt;D50,"FRACILE",IF(D50&gt;F50,"Vivoire","hoà")))</f>
        <v>FRACILE</v>
      </c>
      <c r="H50" s="25" t="s">
        <v>58</v>
      </c>
      <c r="I50" s="30" t="s">
        <v>228</v>
      </c>
    </row>
    <row r="51" ht="44" customHeight="1" spans="1:9" x14ac:dyDescent="0.25">
      <c r="A51" s="25" t="s">
        <v>17</v>
      </c>
      <c r="B51" s="26" t="s">
        <v>229</v>
      </c>
      <c r="C51" s="27" t="s">
        <v>96</v>
      </c>
      <c r="D51" s="28"/>
      <c r="E51" s="27" t="s">
        <v>230</v>
      </c>
      <c r="F51" s="28">
        <v>2</v>
      </c>
      <c r="G51" s="29" t="str">
        <f>IF(OR(D51="",F51=""),"chưa rõ",IF(F51&gt;D51,"FRACILE",IF(D51&gt;F51,"Vivoire","hoà")))</f>
        <v>chưa rõ</v>
      </c>
      <c r="H51" s="25" t="s">
        <v>58</v>
      </c>
      <c r="I51" s="30" t="s">
        <v>231</v>
      </c>
    </row>
  </sheetData>
  <pageMargins left="0.7" right="0.7" top="0.75" bottom="0.75" header="0.3" footer="0.3"/>
  <pageSetup orientation="portrait" horizontalDpi="4294967295" verticalDpi="4294967295" scale="100" fitToWidth="1" fitToHeight="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26"/>
  <sheetFormatPr defaultRowHeight="15" outlineLevelRow="0" outlineLevelCol="0" x14ac:dyDescent="55"/>
  <cols>
    <col min="1" max="1" width="40" customWidth="1"/>
    <col min="2" max="2" width="30" customWidth="1"/>
    <col min="3" max="3" width="13" customWidth="1"/>
    <col min="4" max="4" width="28" customWidth="1"/>
    <col min="5" max="5" width="54" customWidth="1"/>
  </cols>
  <sheetData>
    <row r="1" spans="1:1" x14ac:dyDescent="0.25">
      <c r="A1" s="37" t="s">
        <v>232</v>
      </c>
    </row>
    <row r="2" spans="1:5" x14ac:dyDescent="0.25">
      <c r="A2" s="12" t="s">
        <v>233</v>
      </c>
      <c r="B2" s="12"/>
      <c r="C2" s="12"/>
      <c r="D2" s="12"/>
      <c r="E2" s="12"/>
    </row>
    <row r="3" spans="1:5" x14ac:dyDescent="0.25">
      <c r="A3" s="12"/>
      <c r="B3" s="12"/>
      <c r="C3" s="12"/>
      <c r="D3" s="12"/>
      <c r="E3" s="12"/>
    </row>
    <row r="5" ht="34" customHeight="1" spans="1:5" x14ac:dyDescent="0.25">
      <c r="A5" s="3" t="s">
        <v>234</v>
      </c>
      <c r="B5" s="3" t="s">
        <v>235</v>
      </c>
      <c r="C5" s="3" t="s">
        <v>236</v>
      </c>
      <c r="D5" s="3" t="s">
        <v>237</v>
      </c>
      <c r="E5" s="3" t="s">
        <v>238</v>
      </c>
    </row>
    <row r="6" ht="42" customHeight="1" spans="1:5" x14ac:dyDescent="0.25">
      <c r="A6" s="21" t="s">
        <v>239</v>
      </c>
      <c r="B6" s="21" t="s">
        <v>240</v>
      </c>
      <c r="C6" s="19" t="s">
        <v>241</v>
      </c>
      <c r="D6" s="21" t="s">
        <v>58</v>
      </c>
      <c r="E6" s="21" t="s">
        <v>242</v>
      </c>
    </row>
    <row r="7" ht="42" customHeight="1" spans="1:5" x14ac:dyDescent="0.25">
      <c r="A7" s="21" t="s">
        <v>243</v>
      </c>
      <c r="B7" s="21" t="s">
        <v>244</v>
      </c>
      <c r="C7" s="19" t="s">
        <v>241</v>
      </c>
      <c r="D7" s="21" t="s">
        <v>58</v>
      </c>
      <c r="E7" s="21" t="s">
        <v>245</v>
      </c>
    </row>
    <row r="8" ht="42" customHeight="1" spans="1:5" x14ac:dyDescent="0.25">
      <c r="A8" s="21" t="s">
        <v>246</v>
      </c>
      <c r="B8" s="21" t="s">
        <v>247</v>
      </c>
      <c r="C8" s="19" t="s">
        <v>241</v>
      </c>
      <c r="D8" s="21" t="s">
        <v>58</v>
      </c>
      <c r="E8" s="21" t="s">
        <v>248</v>
      </c>
    </row>
    <row r="9" ht="42" customHeight="1" spans="1:5" x14ac:dyDescent="0.25">
      <c r="A9" s="21" t="s">
        <v>168</v>
      </c>
      <c r="B9" s="21" t="s">
        <v>249</v>
      </c>
      <c r="C9" s="19" t="s">
        <v>241</v>
      </c>
      <c r="D9" s="21" t="s">
        <v>58</v>
      </c>
      <c r="E9" s="21" t="s">
        <v>250</v>
      </c>
    </row>
    <row r="10" ht="42" customHeight="1" spans="1:5" x14ac:dyDescent="0.25">
      <c r="A10" s="21" t="s">
        <v>251</v>
      </c>
      <c r="B10" s="21" t="s">
        <v>252</v>
      </c>
      <c r="C10" s="19" t="s">
        <v>241</v>
      </c>
      <c r="D10" s="21" t="s">
        <v>58</v>
      </c>
      <c r="E10" s="21" t="s">
        <v>253</v>
      </c>
    </row>
    <row r="11" ht="42" customHeight="1" spans="1:5" x14ac:dyDescent="0.25">
      <c r="A11" s="21" t="s">
        <v>254</v>
      </c>
      <c r="B11" s="21" t="s">
        <v>255</v>
      </c>
      <c r="C11" s="19" t="s">
        <v>241</v>
      </c>
      <c r="D11" s="21" t="s">
        <v>58</v>
      </c>
      <c r="E11" s="21" t="s">
        <v>256</v>
      </c>
    </row>
    <row r="12" ht="42" customHeight="1" spans="1:5" x14ac:dyDescent="0.25">
      <c r="A12" s="21" t="s">
        <v>257</v>
      </c>
      <c r="B12" s="21" t="s">
        <v>258</v>
      </c>
      <c r="C12" s="19" t="s">
        <v>241</v>
      </c>
      <c r="D12" s="21" t="s">
        <v>259</v>
      </c>
      <c r="E12" s="21" t="s">
        <v>260</v>
      </c>
    </row>
    <row r="13" ht="42" customHeight="1" spans="1:5" x14ac:dyDescent="0.25">
      <c r="A13" s="21" t="s">
        <v>261</v>
      </c>
      <c r="B13" s="21" t="s">
        <v>262</v>
      </c>
      <c r="C13" s="19" t="s">
        <v>241</v>
      </c>
      <c r="D13" s="21" t="s">
        <v>58</v>
      </c>
      <c r="E13" s="21" t="s">
        <v>130</v>
      </c>
    </row>
    <row r="14" ht="42" customHeight="1" spans="1:5" x14ac:dyDescent="0.25">
      <c r="A14" s="21" t="s">
        <v>174</v>
      </c>
      <c r="B14" s="21" t="s">
        <v>263</v>
      </c>
      <c r="C14" s="19" t="s">
        <v>241</v>
      </c>
      <c r="D14" s="21" t="s">
        <v>264</v>
      </c>
      <c r="E14" s="21" t="s">
        <v>265</v>
      </c>
    </row>
    <row r="15" ht="42" customHeight="1" spans="1:5" x14ac:dyDescent="0.25">
      <c r="A15" s="21" t="s">
        <v>266</v>
      </c>
      <c r="B15" s="21" t="s">
        <v>267</v>
      </c>
      <c r="C15" s="19" t="s">
        <v>241</v>
      </c>
      <c r="D15" s="21" t="s">
        <v>268</v>
      </c>
      <c r="E15" s="21" t="s">
        <v>269</v>
      </c>
    </row>
    <row r="16" ht="42" customHeight="1" spans="1:5" x14ac:dyDescent="0.25">
      <c r="A16" s="38" t="s">
        <v>270</v>
      </c>
      <c r="B16" s="38" t="s">
        <v>271</v>
      </c>
      <c r="C16" s="39" t="s">
        <v>272</v>
      </c>
      <c r="D16" s="38" t="s">
        <v>58</v>
      </c>
      <c r="E16" s="38" t="s">
        <v>273</v>
      </c>
    </row>
    <row r="17" ht="42" customHeight="1" spans="1:5" x14ac:dyDescent="0.25">
      <c r="A17" s="27" t="s">
        <v>274</v>
      </c>
      <c r="B17" s="27" t="s">
        <v>275</v>
      </c>
      <c r="C17" s="25" t="s">
        <v>276</v>
      </c>
      <c r="D17" s="27" t="s">
        <v>277</v>
      </c>
      <c r="E17" s="27" t="s">
        <v>278</v>
      </c>
    </row>
    <row r="18" ht="42" customHeight="1" spans="1:5" x14ac:dyDescent="0.25">
      <c r="A18" s="27" t="s">
        <v>279</v>
      </c>
      <c r="B18" s="27" t="s">
        <v>280</v>
      </c>
      <c r="C18" s="25" t="s">
        <v>276</v>
      </c>
      <c r="D18" s="27" t="s">
        <v>277</v>
      </c>
      <c r="E18" s="27" t="s">
        <v>281</v>
      </c>
    </row>
    <row r="19" ht="42" customHeight="1" spans="1:5" x14ac:dyDescent="0.25">
      <c r="A19" s="27" t="s">
        <v>282</v>
      </c>
      <c r="B19" s="27" t="s">
        <v>280</v>
      </c>
      <c r="C19" s="25" t="s">
        <v>283</v>
      </c>
      <c r="D19" s="27" t="s">
        <v>58</v>
      </c>
      <c r="E19" s="27" t="s">
        <v>284</v>
      </c>
    </row>
    <row r="22" spans="1:1" x14ac:dyDescent="0.25">
      <c r="A22" s="40" t="s">
        <v>285</v>
      </c>
    </row>
    <row r="23" ht="30" customHeight="1" spans="1:5" x14ac:dyDescent="0.25">
      <c r="A23" s="18" t="s">
        <v>286</v>
      </c>
      <c r="B23" s="18"/>
      <c r="C23" s="18"/>
      <c r="D23" s="18"/>
      <c r="E23" s="18"/>
    </row>
    <row r="24" spans="1:5" x14ac:dyDescent="0.25">
      <c r="A24" s="18"/>
      <c r="B24" s="18"/>
      <c r="C24" s="18"/>
      <c r="D24" s="18"/>
      <c r="E24" s="18"/>
    </row>
    <row r="25" spans="1:5" x14ac:dyDescent="0.25">
      <c r="A25" s="18"/>
      <c r="B25" s="18"/>
      <c r="C25" s="18"/>
      <c r="D25" s="18"/>
      <c r="E25" s="18"/>
    </row>
    <row r="26" spans="1:5" x14ac:dyDescent="0.25">
      <c r="A26" s="18"/>
      <c r="B26" s="18"/>
      <c r="C26" s="18"/>
      <c r="D26" s="18"/>
      <c r="E26" s="18"/>
    </row>
  </sheetData>
  <mergeCells count="2">
    <mergeCell ref="A2:E3"/>
    <mergeCell ref="A23:E26"/>
  </mergeCell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30"/>
  <sheetFormatPr defaultRowHeight="15" outlineLevelRow="0" outlineLevelCol="0" x14ac:dyDescent="55"/>
  <cols>
    <col min="1" max="1" width="32" customWidth="1"/>
    <col min="2" max="2" width="12" customWidth="1"/>
    <col min="3" max="3" width="54" customWidth="1"/>
    <col min="4" max="4" width="14" customWidth="1"/>
  </cols>
  <sheetData>
    <row r="1" spans="1:1" x14ac:dyDescent="0.25">
      <c r="A1" s="37" t="s">
        <v>287</v>
      </c>
    </row>
    <row r="3" ht="34" customHeight="1" spans="1:4" x14ac:dyDescent="0.25">
      <c r="A3" s="3" t="s">
        <v>288</v>
      </c>
      <c r="B3" s="3" t="s">
        <v>289</v>
      </c>
      <c r="C3" s="3" t="s">
        <v>290</v>
      </c>
      <c r="D3" s="3" t="s">
        <v>291</v>
      </c>
    </row>
    <row r="4" spans="1:4" x14ac:dyDescent="0.25">
      <c r="A4" s="41" t="s">
        <v>292</v>
      </c>
      <c r="B4" s="42">
        <v>33</v>
      </c>
      <c r="C4" s="43" t="s">
        <v>293</v>
      </c>
      <c r="D4" s="44" t="s">
        <v>294</v>
      </c>
    </row>
    <row r="5" spans="1:4" x14ac:dyDescent="0.25">
      <c r="A5" s="41" t="s">
        <v>295</v>
      </c>
      <c r="B5" s="42">
        <v>372</v>
      </c>
      <c r="C5" s="43" t="s">
        <v>296</v>
      </c>
      <c r="D5" s="44" t="s">
        <v>294</v>
      </c>
    </row>
    <row r="6" spans="1:4" x14ac:dyDescent="0.25">
      <c r="A6" s="41" t="s">
        <v>297</v>
      </c>
      <c r="B6" s="42">
        <v>207</v>
      </c>
      <c r="C6" s="43" t="s">
        <v>298</v>
      </c>
      <c r="D6" s="44" t="s">
        <v>294</v>
      </c>
    </row>
    <row r="7" spans="1:4" x14ac:dyDescent="0.25">
      <c r="A7" s="41" t="s">
        <v>299</v>
      </c>
      <c r="B7" s="42">
        <v>7</v>
      </c>
      <c r="C7" s="43" t="s">
        <v>300</v>
      </c>
      <c r="D7" s="44" t="s">
        <v>294</v>
      </c>
    </row>
    <row r="8" spans="1:4" x14ac:dyDescent="0.25">
      <c r="A8" s="41" t="s">
        <v>301</v>
      </c>
      <c r="B8" s="42">
        <v>2</v>
      </c>
      <c r="C8" s="43" t="s">
        <v>302</v>
      </c>
      <c r="D8" s="44" t="s">
        <v>294</v>
      </c>
    </row>
    <row r="9" spans="1:4" x14ac:dyDescent="0.25">
      <c r="A9" s="41" t="s">
        <v>303</v>
      </c>
      <c r="B9" s="42">
        <v>4</v>
      </c>
      <c r="C9" s="43" t="s">
        <v>304</v>
      </c>
      <c r="D9" s="44" t="s">
        <v>305</v>
      </c>
    </row>
    <row r="10" spans="1:4" x14ac:dyDescent="0.25">
      <c r="A10" s="41" t="s">
        <v>306</v>
      </c>
      <c r="B10" s="42">
        <v>35</v>
      </c>
      <c r="C10" s="43" t="s">
        <v>307</v>
      </c>
      <c r="D10" s="44" t="s">
        <v>294</v>
      </c>
    </row>
    <row r="11" spans="1:4" x14ac:dyDescent="0.25">
      <c r="A11" s="41" t="s">
        <v>308</v>
      </c>
      <c r="B11" s="42">
        <v>37</v>
      </c>
      <c r="C11" s="43" t="s">
        <v>309</v>
      </c>
      <c r="D11" s="44" t="s">
        <v>294</v>
      </c>
    </row>
    <row r="12" spans="1:4" x14ac:dyDescent="0.25">
      <c r="A12" s="41" t="s">
        <v>310</v>
      </c>
      <c r="B12" s="42">
        <v>177</v>
      </c>
      <c r="C12" s="43" t="s">
        <v>311</v>
      </c>
      <c r="D12" s="44" t="s">
        <v>294</v>
      </c>
    </row>
    <row r="13" spans="1:4" x14ac:dyDescent="0.25">
      <c r="A13" s="41" t="s">
        <v>312</v>
      </c>
      <c r="B13" s="42">
        <v>9</v>
      </c>
      <c r="C13" s="43" t="s">
        <v>313</v>
      </c>
      <c r="D13" s="44" t="s">
        <v>294</v>
      </c>
    </row>
    <row r="14" spans="1:4" x14ac:dyDescent="0.25">
      <c r="A14" s="41" t="s">
        <v>314</v>
      </c>
      <c r="B14" s="42">
        <v>8</v>
      </c>
      <c r="C14" s="43" t="s">
        <v>315</v>
      </c>
      <c r="D14" s="44" t="s">
        <v>294</v>
      </c>
    </row>
    <row r="15" spans="1:4" x14ac:dyDescent="0.25">
      <c r="A15" s="41" t="s">
        <v>316</v>
      </c>
      <c r="B15" s="42">
        <v>2</v>
      </c>
      <c r="C15" s="43" t="s">
        <v>317</v>
      </c>
      <c r="D15" s="44" t="s">
        <v>305</v>
      </c>
    </row>
    <row r="16" spans="1:4" x14ac:dyDescent="0.25">
      <c r="A16" s="41" t="s">
        <v>318</v>
      </c>
      <c r="B16" s="42">
        <v>0</v>
      </c>
      <c r="C16" s="43" t="s">
        <v>319</v>
      </c>
      <c r="D16" s="44" t="s">
        <v>294</v>
      </c>
    </row>
    <row r="18" spans="1:3" x14ac:dyDescent="0.25">
      <c r="A18" s="13" t="s">
        <v>320</v>
      </c>
      <c r="B18" s="45">
        <f>B6/B5</f>
        <v>0.5564516129032258</v>
      </c>
      <c r="C18" s="46" t="s">
        <v>321</v>
      </c>
    </row>
    <row r="19" spans="1:3" x14ac:dyDescent="0.25">
      <c r="A19" s="13" t="s">
        <v>322</v>
      </c>
      <c r="B19" s="47">
        <f>B5-B6</f>
        <v>165</v>
      </c>
      <c r="C19" s="46" t="s">
        <v>323</v>
      </c>
    </row>
    <row r="22" spans="1:1" x14ac:dyDescent="0.25">
      <c r="A22" s="40" t="s">
        <v>324</v>
      </c>
    </row>
    <row r="23" ht="34" customHeight="1" spans="1:4" x14ac:dyDescent="0.25">
      <c r="A23" s="3" t="s">
        <v>288</v>
      </c>
      <c r="B23" s="3" t="s">
        <v>289</v>
      </c>
      <c r="C23" s="3" t="s">
        <v>325</v>
      </c>
      <c r="D23" s="3" t="s">
        <v>326</v>
      </c>
    </row>
    <row r="24" spans="1:4" x14ac:dyDescent="0.25">
      <c r="A24" s="19" t="s">
        <v>124</v>
      </c>
      <c r="B24" s="21" t="s">
        <v>327</v>
      </c>
      <c r="C24" s="21" t="s">
        <v>328</v>
      </c>
      <c r="D24" s="21" t="s">
        <v>329</v>
      </c>
    </row>
    <row r="25" spans="1:4" x14ac:dyDescent="0.25">
      <c r="A25" s="19" t="s">
        <v>330</v>
      </c>
      <c r="B25" s="21" t="s">
        <v>331</v>
      </c>
      <c r="C25" s="21" t="s">
        <v>332</v>
      </c>
      <c r="D25" s="21" t="s">
        <v>329</v>
      </c>
    </row>
    <row r="26" spans="1:4" x14ac:dyDescent="0.25">
      <c r="A26" s="19" t="s">
        <v>333</v>
      </c>
      <c r="B26" s="21" t="s">
        <v>331</v>
      </c>
      <c r="C26" s="21" t="s">
        <v>332</v>
      </c>
      <c r="D26" s="21" t="s">
        <v>329</v>
      </c>
    </row>
    <row r="27" spans="1:4" x14ac:dyDescent="0.25">
      <c r="A27" s="19" t="s">
        <v>334</v>
      </c>
      <c r="B27" s="21" t="s">
        <v>335</v>
      </c>
      <c r="C27" s="21" t="s">
        <v>332</v>
      </c>
      <c r="D27" s="21" t="s">
        <v>329</v>
      </c>
    </row>
    <row r="28" spans="1:4" x14ac:dyDescent="0.25">
      <c r="A28" s="39" t="s">
        <v>336</v>
      </c>
      <c r="B28" s="38" t="s">
        <v>337</v>
      </c>
      <c r="C28" s="38" t="s">
        <v>338</v>
      </c>
      <c r="D28" s="38" t="s">
        <v>339</v>
      </c>
    </row>
    <row r="29" spans="1:4" x14ac:dyDescent="0.25">
      <c r="A29" s="39" t="s">
        <v>340</v>
      </c>
      <c r="B29" s="38" t="s">
        <v>341</v>
      </c>
      <c r="C29" s="38" t="s">
        <v>342</v>
      </c>
      <c r="D29" s="38" t="s">
        <v>339</v>
      </c>
    </row>
    <row r="30" spans="1:4" x14ac:dyDescent="0.25">
      <c r="A30" s="19" t="s">
        <v>343</v>
      </c>
      <c r="B30" s="21" t="s">
        <v>344</v>
      </c>
      <c r="C30" s="21" t="s">
        <v>345</v>
      </c>
      <c r="D30" s="21" t="s">
        <v>346</v>
      </c>
    </row>
  </sheetData>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11"/>
  <sheetFormatPr defaultRowHeight="15" outlineLevelRow="0" outlineLevelCol="0" x14ac:dyDescent="55"/>
  <cols>
    <col min="1" max="1" width="5" customWidth="1"/>
    <col min="2" max="2" width="42" customWidth="1"/>
    <col min="3" max="3" width="64" customWidth="1"/>
    <col min="4" max="4" width="40" customWidth="1"/>
    <col min="5" max="5" width="16" customWidth="1"/>
  </cols>
  <sheetData>
    <row r="1" spans="1:1" x14ac:dyDescent="0.25">
      <c r="A1" s="37" t="s">
        <v>347</v>
      </c>
    </row>
    <row r="3" ht="34" customHeight="1" spans="1:5" x14ac:dyDescent="0.25">
      <c r="A3" s="3" t="s">
        <v>348</v>
      </c>
      <c r="B3" s="3" t="s">
        <v>349</v>
      </c>
      <c r="C3" s="3" t="s">
        <v>350</v>
      </c>
      <c r="D3" s="3" t="s">
        <v>351</v>
      </c>
      <c r="E3" s="3" t="s">
        <v>352</v>
      </c>
    </row>
    <row r="4" ht="62" customHeight="1" spans="1:5" x14ac:dyDescent="0.25">
      <c r="A4" s="22">
        <v>1</v>
      </c>
      <c r="B4" s="19" t="s">
        <v>353</v>
      </c>
      <c r="C4" s="21" t="s">
        <v>354</v>
      </c>
      <c r="D4" s="21" t="s">
        <v>355</v>
      </c>
      <c r="E4" s="21" t="s">
        <v>356</v>
      </c>
    </row>
    <row r="5" ht="62" customHeight="1" spans="1:5" x14ac:dyDescent="0.25">
      <c r="A5" s="22">
        <v>2</v>
      </c>
      <c r="B5" s="19" t="s">
        <v>357</v>
      </c>
      <c r="C5" s="21" t="s">
        <v>358</v>
      </c>
      <c r="D5" s="21" t="s">
        <v>359</v>
      </c>
      <c r="E5" s="21" t="s">
        <v>360</v>
      </c>
    </row>
    <row r="6" ht="62" customHeight="1" spans="1:5" x14ac:dyDescent="0.25">
      <c r="A6" s="22">
        <v>3</v>
      </c>
      <c r="B6" s="19" t="s">
        <v>361</v>
      </c>
      <c r="C6" s="21" t="s">
        <v>362</v>
      </c>
      <c r="D6" s="21" t="s">
        <v>363</v>
      </c>
      <c r="E6" s="21" t="s">
        <v>360</v>
      </c>
    </row>
    <row r="7" ht="62" customHeight="1" spans="1:5" x14ac:dyDescent="0.25">
      <c r="A7" s="22">
        <v>4</v>
      </c>
      <c r="B7" s="19" t="s">
        <v>364</v>
      </c>
      <c r="C7" s="21" t="s">
        <v>365</v>
      </c>
      <c r="D7" s="21" t="s">
        <v>366</v>
      </c>
      <c r="E7" s="21" t="s">
        <v>356</v>
      </c>
    </row>
    <row r="8" ht="62" customHeight="1" spans="1:5" x14ac:dyDescent="0.25">
      <c r="A8" s="22">
        <v>5</v>
      </c>
      <c r="B8" s="19" t="s">
        <v>367</v>
      </c>
      <c r="C8" s="21" t="s">
        <v>368</v>
      </c>
      <c r="D8" s="21" t="s">
        <v>369</v>
      </c>
      <c r="E8" s="21" t="s">
        <v>370</v>
      </c>
    </row>
    <row r="9" ht="62" customHeight="1" spans="1:5" x14ac:dyDescent="0.25">
      <c r="A9" s="22">
        <v>6</v>
      </c>
      <c r="B9" s="19" t="s">
        <v>371</v>
      </c>
      <c r="C9" s="21" t="s">
        <v>372</v>
      </c>
      <c r="D9" s="21" t="s">
        <v>373</v>
      </c>
      <c r="E9" s="21" t="s">
        <v>374</v>
      </c>
    </row>
    <row r="10" ht="62" customHeight="1" spans="1:5" x14ac:dyDescent="0.25">
      <c r="A10" s="22">
        <v>7</v>
      </c>
      <c r="B10" s="19" t="s">
        <v>375</v>
      </c>
      <c r="C10" s="21" t="s">
        <v>376</v>
      </c>
      <c r="D10" s="21" t="s">
        <v>377</v>
      </c>
      <c r="E10" s="21" t="s">
        <v>378</v>
      </c>
    </row>
    <row r="11" ht="62" customHeight="1" spans="1:5" x14ac:dyDescent="0.25">
      <c r="A11" s="22">
        <v>8</v>
      </c>
      <c r="B11" s="19" t="s">
        <v>379</v>
      </c>
      <c r="C11" s="21" t="s">
        <v>380</v>
      </c>
      <c r="D11" s="21" t="s">
        <v>381</v>
      </c>
      <c r="E11" s="21" t="s">
        <v>382</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Tổng quan</vt:lpstr>
      <vt:lpstr>So sánh chi tiết</vt:lpstr>
      <vt:lpstr>Tài khoản giáo viên</vt:lpstr>
      <vt:lpstr>Số liệu đo được</vt:lpstr>
      <vt:lpstr>Việc cần làm</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FRACILE</dc:creator>
  <dc:title/>
  <dc:subject/>
  <dc:description/>
  <cp:keywords/>
  <cp:category/>
  <cp:lastModifiedBy>Unknown</cp:lastModifiedBy>
  <dcterms:created xsi:type="dcterms:W3CDTF">2026-09-08T17:00:00Z</dcterms:created>
  <dcterms:modified xsi:type="dcterms:W3CDTF">2026-09-23T02:02:01Z</dcterms:modified>
</cp:coreProperties>
</file>