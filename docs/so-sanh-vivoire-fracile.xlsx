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<sst xmlns="http://schemas.openxmlformats.org/spreadsheetml/2006/main" count="603" uniqueCount="434">
  <si>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</si>
  <si>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</si>
  <si>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</si>
  <si>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</si>
  <si>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</si>
  <si>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</si>
  <si>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</si>
  <si>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</si>
  <si>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</si>
  <si>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</si>
  <si>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</si>
  <si>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</si>
  <si>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</si>
  <si>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</si>
  <si>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</si>
  <si>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</si>
  <si>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</si>
  <si>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</si>
  <si>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</si>
  <si>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</si>
  <si>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</si>
  <si>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</si>
  <si>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</si>
  <si>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</si>
  <si>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</si>
  <si>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</si>
  <si>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</si>
  <si>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</si>
  <si>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</si>
  <si>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</si>
  <si>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</si>
  <si>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</si>
  <si>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</si>
  <si>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</si>
  <si>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</si>
  <si>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</si>
  <si>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</si>
  <si>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</si>
  <si>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</si>
  <si>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</si>
  <si>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</si>
  <si>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</si>
  <si>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</si>
  <si>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</si>
  <si>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</si>
  <si>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</si>
  <si>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</si>
  <si>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</si>
  <si>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</si>
  <si>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</si>
  <si>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</si>
  <si>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</si>
  <si>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</si>
  <si>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</si>
  <si>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</si>
  <si>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</si>
  <si>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</si>
  <si>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</si>
  <si>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</si>
  <si>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</si>
  <si>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</si>
  <si>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</si>
  <si>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</si>
  <si>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</si>
  <si>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</si>
  <si>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</si>
  <si>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</si>
  <si>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</si>
  <si>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</si>
  <si>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</si>
  <si>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</si>
  <si>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</si>
  <si>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</si>
  <si>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</si>
  <si>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</si>
  <si>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</si>
  <si>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</si>
  <si>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</si>
  <si>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</si>
  <si>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</si>
  <si>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</si>
  <si>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</si>
  <si>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</si>
  <si>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</si>
  <si>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</si>
  <si>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</si>
  <si>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</si>
  <si>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</si>
  <si>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</si>
  <si>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</si>
  <si>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</si>
  <si>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</si>
  <si>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</si>
  <si>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</si>
  <si>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</si>
  <si>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</si>
  <si>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</si>
  <si>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</si>
  <si>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</si>
  <si>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</si>
  <si>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</si>
  <si>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</si>
  <si>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</si>
  <si>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</si>
  <si>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</si>
  <si>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</si>
  <si>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</si>
  <si>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</si>
  <si>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</si>
  <si>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</si>
  <si>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</si>
  <si>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</si>
  <si>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</si>
  <si>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</si>
  <si>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</si>
  <si>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</si>
  <si>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</si>
  <si>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</si>
  <si>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</si>
  <si>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</si>
  <si>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</si>
  <si>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</si>
  <si>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</si>
  <si>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</si>
  <si>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</si>
  <si>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</si>
  <si>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</si>
  <si>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</si>
  <si>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</si>
  <si>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</si>
  <si>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</si>
  <si>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</si>
  <si>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</si>
  <si>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</si>
  <si>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(01/10): A1 9 · A2 1 · B1 18 · B2 5 · B2+ 1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</si>
  <si>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</si>
  <si>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</si>
  <si>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</si>
  <si>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</si>
  <si>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34 bài (ĐẾM THẬT trên production, 01/10)</t>
  </si>
  <si>
    <t>Đang chạy — 26 bài nháp chờ duyệt</t>
  </si>
  <si>
    <t>34 bài luyện công khai, đo 01/10/2026; +26 bài nháp chờ duyệt (lô 1–3, mỗi bài 8–10 câu có lời giải, gồm 3 bài đọc hiểu có ngữ liệu) — lên 60 khi xuất bản hết</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</si>
  <si>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</si>
  <si>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</si>
  <si>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</si>
  <si>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</si>
  <si>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</si>
  <si>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</si>
  <si>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</si>
  <si>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</si>
  <si>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</si>
  <si>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</si>
  <si>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</si>
  <si>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</si>
  <si>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</si>
  <si>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</si>
  <si>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</si>
  <si>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</si>
  <si>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</si>
  <si>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</si>
  <si>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</si>
  <si>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</si>
  <si>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</si>
  <si>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</si>
  <si>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</si>
  <si>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</si>
  <si>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</si>
  <si>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</si>
  <si>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</si>
  <si>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</si>
  <si>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</si>
  <si>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</si>
  <si>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</si>
  <si>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</si>
  <si>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</si>
  <si>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</si>
  <si>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</si>
  <si>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</si>
  <si>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</si>
  <si>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</si>
  <si>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</si>
  <si>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</si>
  <si>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</si>
  <si>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</si>
  <si>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</si>
  <si>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đã có trận thật</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</si>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</sst>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0.8</v>
      </c>
      <c r="F9" s="6">
        <f>IFERROR(E9-D9,"")</f>
        <v>-1.2</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2</v>
      </c>
      <c r="F10" s="6">
        <f>IFERROR(E10-D10,"")</f>
        <v>0</v>
      </c>
      <c r="G10" s="7" t="str">
        <f>IF(OR(C10&lt;3,F10=""),"quá ít mục",IF(F10&gt;0.25,"FRACILE",IF(F10&lt;-0.25,"Vivoire","ngang nhau")))</f>
        <v>ngang nhau</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140</v>
      </c>
      <c r="I17" s="24" t="s">
        <v>141</v>
      </c>
    </row>
    <row r="18" ht="44" customHeight="1" spans="1:9" x14ac:dyDescent="0.25">
      <c r="A18" s="25" t="s">
        <v>13</v>
      </c>
      <c r="B18" s="26" t="s">
        <v>142</v>
      </c>
      <c r="C18" s="27" t="s">
        <v>143</v>
      </c>
      <c r="D18" s="28"/>
      <c r="E18" s="27" t="s">
        <v>144</v>
      </c>
      <c r="F18" s="28">
        <v>2</v>
      </c>
      <c r="G18" s="29" t="str">
        <f>IF(OR(D18="",F18=""),"chưa rõ",IF(F18&gt;D18,"FRACILE",IF(D18&gt;F18,"Vivoire","hoà")))</f>
        <v>chưa rõ</v>
      </c>
      <c r="H18" s="25" t="s">
        <v>80</v>
      </c>
      <c r="I18" s="30" t="s">
        <v>145</v>
      </c>
    </row>
    <row r="19" ht="44" customHeight="1" spans="1:9" x14ac:dyDescent="0.25">
      <c r="A19" s="19" t="s">
        <v>13</v>
      </c>
      <c r="B19" s="20" t="s">
        <v>146</v>
      </c>
      <c r="C19" s="21" t="s">
        <v>147</v>
      </c>
      <c r="D19" s="22">
        <v>2</v>
      </c>
      <c r="E19" s="21" t="s">
        <v>148</v>
      </c>
      <c r="F19" s="22">
        <v>1</v>
      </c>
      <c r="G19" s="23" t="str">
        <f>IF(OR(D19="",F19=""),"chưa rõ",IF(F19&gt;D19,"FRACILE",IF(D19&gt;F19,"Vivoire","hoà")))</f>
        <v>Vivoire</v>
      </c>
      <c r="H19" s="19" t="s">
        <v>80</v>
      </c>
      <c r="I19" s="24" t="s">
        <v>149</v>
      </c>
    </row>
    <row r="20" ht="44" customHeight="1" spans="1:9" x14ac:dyDescent="0.25">
      <c r="A20" s="31" t="s">
        <v>13</v>
      </c>
      <c r="B20" s="32" t="s">
        <v>150</v>
      </c>
      <c r="C20" s="33" t="s">
        <v>124</v>
      </c>
      <c r="D20" s="34">
        <v>2</v>
      </c>
      <c r="E20" s="33" t="s">
        <v>151</v>
      </c>
      <c r="F20" s="34">
        <v>0</v>
      </c>
      <c r="G20" s="35" t="str">
        <f>IF(OR(D20="",F20=""),"chưa rõ",IF(F20&gt;D20,"FRACILE",IF(D20&gt;F20,"Vivoire","hoà")))</f>
        <v>Vivoire</v>
      </c>
      <c r="H20" s="31" t="s">
        <v>152</v>
      </c>
      <c r="I20" s="36" t="s">
        <v>153</v>
      </c>
    </row>
    <row r="21" ht="44" customHeight="1" spans="1:9" x14ac:dyDescent="0.25">
      <c r="A21" s="19" t="s">
        <v>13</v>
      </c>
      <c r="B21" s="20" t="s">
        <v>154</v>
      </c>
      <c r="C21" s="21" t="s">
        <v>155</v>
      </c>
      <c r="D21" s="22">
        <v>2</v>
      </c>
      <c r="E21" s="21" t="s">
        <v>156</v>
      </c>
      <c r="F21" s="22">
        <v>1</v>
      </c>
      <c r="G21" s="23" t="str">
        <f>IF(OR(D21="",F21=""),"chưa rõ",IF(F21&gt;D21,"FRACILE",IF(D21&gt;F21,"Vivoire","hoà")))</f>
        <v>Vivoire</v>
      </c>
      <c r="H21" s="19" t="s">
        <v>80</v>
      </c>
      <c r="I21" s="24" t="s">
        <v>157</v>
      </c>
    </row>
    <row r="22" ht="44" customHeight="1" spans="1:9" x14ac:dyDescent="0.25">
      <c r="A22" s="25" t="s">
        <v>13</v>
      </c>
      <c r="B22" s="26" t="s">
        <v>158</v>
      </c>
      <c r="C22" s="27" t="s">
        <v>117</v>
      </c>
      <c r="D22" s="28"/>
      <c r="E22" s="27" t="s">
        <v>159</v>
      </c>
      <c r="F22" s="28">
        <v>2</v>
      </c>
      <c r="G22" s="29" t="str">
        <f>IF(OR(D22="",F22=""),"chưa rõ",IF(F22&gt;D22,"FRACILE",IF(D22&gt;F22,"Vivoire","hoà")))</f>
        <v>chưa rõ</v>
      </c>
      <c r="H22" s="25" t="s">
        <v>80</v>
      </c>
      <c r="I22" s="30" t="s">
        <v>160</v>
      </c>
    </row>
    <row r="23" ht="44" customHeight="1" spans="1:9" x14ac:dyDescent="0.25">
      <c r="A23" s="19" t="s">
        <v>14</v>
      </c>
      <c r="B23" s="20" t="s">
        <v>161</v>
      </c>
      <c r="C23" s="21" t="s">
        <v>162</v>
      </c>
      <c r="D23" s="22">
        <v>2</v>
      </c>
      <c r="E23" s="21" t="s">
        <v>163</v>
      </c>
      <c r="F23" s="22">
        <v>2</v>
      </c>
      <c r="G23" s="23" t="str">
        <f>IF(OR(D23="",F23=""),"chưa rõ",IF(F23&gt;D23,"FRACILE",IF(D23&gt;F23,"Vivoire","hoà")))</f>
        <v>hoà</v>
      </c>
      <c r="H23" s="19" t="s">
        <v>164</v>
      </c>
      <c r="I23" s="24" t="s">
        <v>165</v>
      </c>
    </row>
    <row r="24" ht="44" customHeight="1" spans="1:9" x14ac:dyDescent="0.25">
      <c r="A24" s="25" t="s">
        <v>14</v>
      </c>
      <c r="B24" s="26" t="s">
        <v>166</v>
      </c>
      <c r="C24" s="27" t="s">
        <v>167</v>
      </c>
      <c r="D24" s="28"/>
      <c r="E24" s="27" t="s">
        <v>168</v>
      </c>
      <c r="F24" s="28">
        <v>2</v>
      </c>
      <c r="G24" s="29" t="str">
        <f>IF(OR(D24="",F24=""),"chưa rõ",IF(F24&gt;D24,"FRACILE",IF(D24&gt;F24,"Vivoire","hoà")))</f>
        <v>chưa rõ</v>
      </c>
      <c r="H24" s="25" t="s">
        <v>169</v>
      </c>
      <c r="I24" s="30" t="s">
        <v>170</v>
      </c>
    </row>
    <row r="25" ht="44" customHeight="1" spans="1:9" x14ac:dyDescent="0.25">
      <c r="A25" s="25" t="s">
        <v>14</v>
      </c>
      <c r="B25" s="26" t="s">
        <v>171</v>
      </c>
      <c r="C25" s="27" t="s">
        <v>117</v>
      </c>
      <c r="D25" s="28"/>
      <c r="E25" s="27" t="s">
        <v>172</v>
      </c>
      <c r="F25" s="28">
        <v>2</v>
      </c>
      <c r="G25" s="29" t="str">
        <f>IF(OR(D25="",F25=""),"chưa rõ",IF(F25&gt;D25,"FRACILE",IF(D25&gt;F25,"Vivoire","hoà")))</f>
        <v>chưa rõ</v>
      </c>
      <c r="H25" s="25" t="s">
        <v>80</v>
      </c>
      <c r="I25" s="30" t="s">
        <v>173</v>
      </c>
    </row>
    <row r="26" ht="44" customHeight="1" spans="1:9" x14ac:dyDescent="0.25">
      <c r="A26" s="19" t="s">
        <v>14</v>
      </c>
      <c r="B26" s="20" t="s">
        <v>174</v>
      </c>
      <c r="C26" s="21" t="s">
        <v>175</v>
      </c>
      <c r="D26" s="22">
        <v>2</v>
      </c>
      <c r="E26" s="21" t="s">
        <v>176</v>
      </c>
      <c r="F26" s="22">
        <v>2</v>
      </c>
      <c r="G26" s="23" t="str">
        <f>IF(OR(D26="",F26=""),"chưa rõ",IF(F26&gt;D26,"FRACILE",IF(D26&gt;F26,"Vivoire","hoà")))</f>
        <v>hoà</v>
      </c>
      <c r="H26" s="19" t="s">
        <v>80</v>
      </c>
      <c r="I26" s="24" t="s">
        <v>177</v>
      </c>
    </row>
    <row r="27" ht="44" customHeight="1" spans="1:9" x14ac:dyDescent="0.25">
      <c r="A27" s="25" t="s">
        <v>14</v>
      </c>
      <c r="B27" s="26" t="s">
        <v>178</v>
      </c>
      <c r="C27" s="27" t="s">
        <v>117</v>
      </c>
      <c r="D27" s="28"/>
      <c r="E27" s="27" t="s">
        <v>179</v>
      </c>
      <c r="F27" s="28">
        <v>2</v>
      </c>
      <c r="G27" s="29" t="str">
        <f>IF(OR(D27="",F27=""),"chưa rõ",IF(F27&gt;D27,"FRACILE",IF(D27&gt;F27,"Vivoire","hoà")))</f>
        <v>chưa rõ</v>
      </c>
      <c r="H27" s="25" t="s">
        <v>180</v>
      </c>
      <c r="I27" s="30" t="s">
        <v>181</v>
      </c>
    </row>
    <row r="28" ht="44" customHeight="1" spans="1:9" x14ac:dyDescent="0.25">
      <c r="A28" s="19" t="s">
        <v>14</v>
      </c>
      <c r="B28" s="20" t="s">
        <v>182</v>
      </c>
      <c r="C28" s="21" t="s">
        <v>183</v>
      </c>
      <c r="D28" s="22">
        <v>2</v>
      </c>
      <c r="E28" s="21" t="s">
        <v>184</v>
      </c>
      <c r="F28" s="22">
        <v>2</v>
      </c>
      <c r="G28" s="23" t="str">
        <f>IF(OR(D28="",F28=""),"chưa rõ",IF(F28&gt;D28,"FRACILE",IF(D28&gt;F28,"Vivoire","hoà")))</f>
        <v>hoà</v>
      </c>
      <c r="H28" s="19" t="s">
        <v>185</v>
      </c>
      <c r="I28" s="24" t="s">
        <v>186</v>
      </c>
    </row>
    <row r="29" ht="44" customHeight="1" spans="1:9" x14ac:dyDescent="0.25">
      <c r="A29" s="19" t="s">
        <v>14</v>
      </c>
      <c r="B29" s="20" t="s">
        <v>187</v>
      </c>
      <c r="C29" s="21" t="s">
        <v>188</v>
      </c>
      <c r="D29" s="22">
        <v>2</v>
      </c>
      <c r="E29" s="21" t="s">
        <v>189</v>
      </c>
      <c r="F29" s="22">
        <v>2</v>
      </c>
      <c r="G29" s="23" t="str">
        <f>IF(OR(D29="",F29=""),"chưa rõ",IF(F29&gt;D29,"FRACILE",IF(D29&gt;F29,"Vivoire","hoà")))</f>
        <v>hoà</v>
      </c>
      <c r="H29" s="19" t="s">
        <v>190</v>
      </c>
      <c r="I29" s="24" t="s">
        <v>191</v>
      </c>
    </row>
    <row r="30" ht="44" customHeight="1" spans="1:9" x14ac:dyDescent="0.25">
      <c r="A30" s="19" t="s">
        <v>14</v>
      </c>
      <c r="B30" s="20" t="s">
        <v>192</v>
      </c>
      <c r="C30" s="21" t="s">
        <v>193</v>
      </c>
      <c r="D30" s="22">
        <v>2</v>
      </c>
      <c r="E30" s="21" t="s">
        <v>194</v>
      </c>
      <c r="F30" s="22">
        <v>2</v>
      </c>
      <c r="G30" s="23" t="str">
        <f>IF(OR(D30="",F30=""),"chưa rõ",IF(F30&gt;D30,"FRACILE",IF(D30&gt;F30,"Vivoire","hoà")))</f>
        <v>hoà</v>
      </c>
      <c r="H30" s="19" t="s">
        <v>195</v>
      </c>
      <c r="I30" s="24" t="s">
        <v>196</v>
      </c>
    </row>
    <row r="31" ht="44" customHeight="1" spans="1:9" x14ac:dyDescent="0.25">
      <c r="A31" s="25" t="s">
        <v>14</v>
      </c>
      <c r="B31" s="26" t="s">
        <v>197</v>
      </c>
      <c r="C31" s="27" t="s">
        <v>117</v>
      </c>
      <c r="D31" s="28"/>
      <c r="E31" s="27" t="s">
        <v>198</v>
      </c>
      <c r="F31" s="28">
        <v>2</v>
      </c>
      <c r="G31" s="29" t="str">
        <f>IF(OR(D31="",F31=""),"chưa rõ",IF(F31&gt;D31,"FRACILE",IF(D31&gt;F31,"Vivoire","hoà")))</f>
        <v>chưa rõ</v>
      </c>
      <c r="H31" s="25" t="s">
        <v>80</v>
      </c>
      <c r="I31" s="30" t="s">
        <v>199</v>
      </c>
    </row>
    <row r="32" ht="44" customHeight="1" spans="1:9" x14ac:dyDescent="0.25">
      <c r="A32" s="19" t="s">
        <v>14</v>
      </c>
      <c r="B32" s="20" t="s">
        <v>200</v>
      </c>
      <c r="C32" s="21" t="s">
        <v>201</v>
      </c>
      <c r="D32" s="22">
        <v>2</v>
      </c>
      <c r="E32" s="21" t="s">
        <v>202</v>
      </c>
      <c r="F32" s="22">
        <v>2</v>
      </c>
      <c r="G32" s="23" t="str">
        <f>IF(OR(D32="",F32=""),"chưa rõ",IF(F32&gt;D32,"FRACILE",IF(D32&gt;F32,"Vivoire","hoà")))</f>
        <v>hoà</v>
      </c>
      <c r="H32" s="19" t="s">
        <v>203</v>
      </c>
      <c r="I32" s="24" t="s">
        <v>204</v>
      </c>
    </row>
    <row r="33" ht="44" customHeight="1" spans="1:9" x14ac:dyDescent="0.25">
      <c r="A33" s="25" t="s">
        <v>15</v>
      </c>
      <c r="B33" s="26" t="s">
        <v>205</v>
      </c>
      <c r="C33" s="27" t="s">
        <v>117</v>
      </c>
      <c r="D33" s="28"/>
      <c r="E33" s="27" t="s">
        <v>206</v>
      </c>
      <c r="F33" s="28">
        <v>2</v>
      </c>
      <c r="G33" s="29" t="str">
        <f>IF(OR(D33="",F33=""),"chưa rõ",IF(F33&gt;D33,"FRACILE",IF(D33&gt;F33,"Vivoire","hoà")))</f>
        <v>chưa rõ</v>
      </c>
      <c r="H33" s="25" t="s">
        <v>207</v>
      </c>
      <c r="I33" s="30" t="s">
        <v>208</v>
      </c>
    </row>
    <row r="34" ht="44" customHeight="1" spans="1:9" x14ac:dyDescent="0.25">
      <c r="A34" s="25" t="s">
        <v>15</v>
      </c>
      <c r="B34" s="26" t="s">
        <v>209</v>
      </c>
      <c r="C34" s="27" t="s">
        <v>117</v>
      </c>
      <c r="D34" s="28"/>
      <c r="E34" s="27" t="s">
        <v>210</v>
      </c>
      <c r="F34" s="28">
        <v>2</v>
      </c>
      <c r="G34" s="29" t="str">
        <f>IF(OR(D34="",F34=""),"chưa rõ",IF(F34&gt;D34,"FRACILE",IF(D34&gt;F34,"Vivoire","hoà")))</f>
        <v>chưa rõ</v>
      </c>
      <c r="H34" s="25" t="s">
        <v>207</v>
      </c>
      <c r="I34" s="30" t="s">
        <v>211</v>
      </c>
    </row>
    <row r="35" ht="44" customHeight="1" spans="1:9" x14ac:dyDescent="0.25">
      <c r="A35" s="25" t="s">
        <v>15</v>
      </c>
      <c r="B35" s="26" t="s">
        <v>212</v>
      </c>
      <c r="C35" s="27" t="s">
        <v>117</v>
      </c>
      <c r="D35" s="28"/>
      <c r="E35" s="27" t="s">
        <v>213</v>
      </c>
      <c r="F35" s="28">
        <v>2</v>
      </c>
      <c r="G35" s="29" t="str">
        <f>IF(OR(D35="",F35=""),"chưa rõ",IF(F35&gt;D35,"FRACILE",IF(D35&gt;F35,"Vivoire","hoà")))</f>
        <v>chưa rõ</v>
      </c>
      <c r="H35" s="25" t="s">
        <v>207</v>
      </c>
      <c r="I35" s="30" t="s">
        <v>214</v>
      </c>
    </row>
    <row r="36" ht="44" customHeight="1" spans="1:9" x14ac:dyDescent="0.25">
      <c r="A36" s="25" t="s">
        <v>15</v>
      </c>
      <c r="B36" s="26" t="s">
        <v>215</v>
      </c>
      <c r="C36" s="27" t="s">
        <v>117</v>
      </c>
      <c r="D36" s="28"/>
      <c r="E36" s="27" t="s">
        <v>216</v>
      </c>
      <c r="F36" s="28">
        <v>2</v>
      </c>
      <c r="G36" s="29" t="str">
        <f>IF(OR(D36="",F36=""),"chưa rõ",IF(F36&gt;D36,"FRACILE",IF(D36&gt;F36,"Vivoire","hoà")))</f>
        <v>chưa rõ</v>
      </c>
      <c r="H36" s="25" t="s">
        <v>207</v>
      </c>
      <c r="I36" s="30" t="s">
        <v>217</v>
      </c>
    </row>
    <row r="37" ht="44" customHeight="1" spans="1:9" x14ac:dyDescent="0.25">
      <c r="A37" s="25" t="s">
        <v>15</v>
      </c>
      <c r="B37" s="26" t="s">
        <v>218</v>
      </c>
      <c r="C37" s="27" t="s">
        <v>117</v>
      </c>
      <c r="D37" s="28"/>
      <c r="E37" s="27" t="s">
        <v>219</v>
      </c>
      <c r="F37" s="28">
        <v>2</v>
      </c>
      <c r="G37" s="29" t="str">
        <f>IF(OR(D37="",F37=""),"chưa rõ",IF(F37&gt;D37,"FRACILE",IF(D37&gt;F37,"Vivoire","hoà")))</f>
        <v>chưa rõ</v>
      </c>
      <c r="H37" s="25" t="s">
        <v>207</v>
      </c>
      <c r="I37" s="30" t="s">
        <v>220</v>
      </c>
    </row>
    <row r="38" ht="44" customHeight="1" spans="1:9" x14ac:dyDescent="0.25">
      <c r="A38" s="19" t="s">
        <v>15</v>
      </c>
      <c r="B38" s="20" t="s">
        <v>221</v>
      </c>
      <c r="C38" s="21" t="s">
        <v>124</v>
      </c>
      <c r="D38" s="22">
        <v>2</v>
      </c>
      <c r="E38" s="21" t="s">
        <v>124</v>
      </c>
      <c r="F38" s="22">
        <v>2</v>
      </c>
      <c r="G38" s="23" t="str">
        <f>IF(OR(D38="",F38=""),"chưa rõ",IF(F38&gt;D38,"FRACILE",IF(D38&gt;F38,"Vivoire","hoà")))</f>
        <v>hoà</v>
      </c>
      <c r="H38" s="19" t="s">
        <v>207</v>
      </c>
      <c r="I38" s="24" t="s">
        <v>222</v>
      </c>
    </row>
    <row r="39" ht="44" customHeight="1" spans="1:9" x14ac:dyDescent="0.25">
      <c r="A39" s="19" t="s">
        <v>15</v>
      </c>
      <c r="B39" s="20" t="s">
        <v>223</v>
      </c>
      <c r="C39" s="21" t="s">
        <v>224</v>
      </c>
      <c r="D39" s="22">
        <v>2</v>
      </c>
      <c r="E39" s="21" t="s">
        <v>225</v>
      </c>
      <c r="F39" s="22">
        <v>1</v>
      </c>
      <c r="G39" s="23" t="str">
        <f>IF(OR(D39="",F39=""),"chưa rõ",IF(F39&gt;D39,"FRACILE",IF(D39&gt;F39,"Vivoire","hoà")))</f>
        <v>Vivoire</v>
      </c>
      <c r="H39" s="19" t="s">
        <v>226</v>
      </c>
      <c r="I39" s="24" t="s">
        <v>227</v>
      </c>
    </row>
    <row r="40" ht="44" customHeight="1" spans="1:9" x14ac:dyDescent="0.25">
      <c r="A40" s="19" t="s">
        <v>15</v>
      </c>
      <c r="B40" s="20" t="s">
        <v>228</v>
      </c>
      <c r="C40" s="21" t="s">
        <v>124</v>
      </c>
      <c r="D40" s="22">
        <v>2</v>
      </c>
      <c r="E40" s="21" t="s">
        <v>229</v>
      </c>
      <c r="F40" s="22">
        <v>2</v>
      </c>
      <c r="G40" s="23" t="str">
        <f>IF(OR(D40="",F40=""),"chưa rõ",IF(F40&gt;D40,"FRACILE",IF(D40&gt;F40,"Vivoire","hoà")))</f>
        <v>hoà</v>
      </c>
      <c r="H40" s="19" t="s">
        <v>207</v>
      </c>
      <c r="I40" s="24" t="s">
        <v>230</v>
      </c>
    </row>
    <row r="41" ht="44" customHeight="1" spans="1:9" x14ac:dyDescent="0.25">
      <c r="A41" s="31" t="s">
        <v>15</v>
      </c>
      <c r="B41" s="32" t="s">
        <v>231</v>
      </c>
      <c r="C41" s="33" t="s">
        <v>124</v>
      </c>
      <c r="D41" s="34">
        <v>2</v>
      </c>
      <c r="E41" s="33" t="s">
        <v>151</v>
      </c>
      <c r="F41" s="34">
        <v>0</v>
      </c>
      <c r="G41" s="35" t="str">
        <f>IF(OR(D41="",F41=""),"chưa rõ",IF(F41&gt;D41,"FRACILE",IF(D41&gt;F41,"Vivoire","hoà")))</f>
        <v>Vivoire</v>
      </c>
      <c r="H41" s="31" t="s">
        <v>152</v>
      </c>
      <c r="I41" s="36" t="s">
        <v>153</v>
      </c>
    </row>
    <row r="42" ht="44" customHeight="1" spans="1:9" x14ac:dyDescent="0.25">
      <c r="A42" s="19" t="s">
        <v>15</v>
      </c>
      <c r="B42" s="20" t="s">
        <v>232</v>
      </c>
      <c r="C42" s="21" t="s">
        <v>233</v>
      </c>
      <c r="D42" s="22">
        <v>2</v>
      </c>
      <c r="E42" s="21" t="s">
        <v>234</v>
      </c>
      <c r="F42" s="22">
        <v>2</v>
      </c>
      <c r="G42" s="23" t="str">
        <f>IF(OR(D42="",F42=""),"chưa rõ",IF(F42&gt;D42,"FRACILE",IF(D42&gt;F42,"Vivoire","hoà")))</f>
        <v>hoà</v>
      </c>
      <c r="H42" s="19" t="s">
        <v>235</v>
      </c>
      <c r="I42" s="24" t="s">
        <v>236</v>
      </c>
    </row>
    <row r="43" ht="44" customHeight="1" spans="1:9" x14ac:dyDescent="0.25">
      <c r="A43" s="19" t="s">
        <v>15</v>
      </c>
      <c r="B43" s="20" t="s">
        <v>237</v>
      </c>
      <c r="C43" s="21" t="s">
        <v>143</v>
      </c>
      <c r="D43" s="22"/>
      <c r="E43" s="21" t="s">
        <v>238</v>
      </c>
      <c r="F43" s="22">
        <v>1</v>
      </c>
      <c r="G43" s="23" t="str">
        <f>IF(OR(D43="",F43=""),"chưa rõ",IF(F43&gt;D43,"FRACILE",IF(D43&gt;F43,"Vivoire","hoà")))</f>
        <v>chưa rõ</v>
      </c>
      <c r="H43" s="19" t="s">
        <v>80</v>
      </c>
      <c r="I43" s="24" t="s">
        <v>239</v>
      </c>
    </row>
    <row r="44" ht="44" customHeight="1" spans="1:9" x14ac:dyDescent="0.25">
      <c r="A44" s="19" t="s">
        <v>16</v>
      </c>
      <c r="B44" s="20" t="s">
        <v>240</v>
      </c>
      <c r="C44" s="21" t="s">
        <v>124</v>
      </c>
      <c r="D44" s="22">
        <v>2</v>
      </c>
      <c r="E44" s="21" t="s">
        <v>124</v>
      </c>
      <c r="F44" s="22">
        <v>2</v>
      </c>
      <c r="G44" s="23" t="str">
        <f>IF(OR(D44="",F44=""),"chưa rõ",IF(F44&gt;D44,"FRACILE",IF(D44&gt;F44,"Vivoire","hoà")))</f>
        <v>hoà</v>
      </c>
      <c r="H44" s="19" t="s">
        <v>80</v>
      </c>
      <c r="I44" s="24" t="s">
        <v>241</v>
      </c>
    </row>
    <row r="45" ht="44" customHeight="1" spans="1:9" x14ac:dyDescent="0.25">
      <c r="A45" s="19" t="s">
        <v>16</v>
      </c>
      <c r="B45" s="20" t="s">
        <v>242</v>
      </c>
      <c r="C45" s="21" t="s">
        <v>243</v>
      </c>
      <c r="D45" s="22">
        <v>2</v>
      </c>
      <c r="E45" s="21" t="s">
        <v>244</v>
      </c>
      <c r="F45" s="22">
        <v>1</v>
      </c>
      <c r="G45" s="23" t="str">
        <f>IF(OR(D45="",F45=""),"chưa rõ",IF(F45&gt;D45,"FRACILE",IF(D45&gt;F45,"Vivoire","hoà")))</f>
        <v>Vivoire</v>
      </c>
      <c r="H45" s="19" t="s">
        <v>245</v>
      </c>
      <c r="I45" s="24" t="s">
        <v>246</v>
      </c>
    </row>
    <row r="46" ht="44" customHeight="1" spans="1:9" x14ac:dyDescent="0.25">
      <c r="A46" s="19" t="s">
        <v>16</v>
      </c>
      <c r="B46" s="20" t="s">
        <v>247</v>
      </c>
      <c r="C46" s="21" t="s">
        <v>248</v>
      </c>
      <c r="D46" s="22">
        <v>2</v>
      </c>
      <c r="E46" s="21" t="s">
        <v>249</v>
      </c>
      <c r="F46" s="22">
        <v>1</v>
      </c>
      <c r="G46" s="23" t="str">
        <f>IF(OR(D46="",F46=""),"chưa rõ",IF(F46&gt;D46,"FRACILE",IF(D46&gt;F46,"Vivoire","hoà")))</f>
        <v>Vivoire</v>
      </c>
      <c r="H46" s="19" t="s">
        <v>250</v>
      </c>
      <c r="I46" s="24" t="s">
        <v>251</v>
      </c>
    </row>
    <row r="47" ht="44" customHeight="1" spans="1:9" x14ac:dyDescent="0.25">
      <c r="A47" s="19" t="s">
        <v>16</v>
      </c>
      <c r="B47" s="20" t="s">
        <v>252</v>
      </c>
      <c r="C47" s="21" t="s">
        <v>124</v>
      </c>
      <c r="D47" s="22">
        <v>2</v>
      </c>
      <c r="E47" s="21" t="s">
        <v>253</v>
      </c>
      <c r="F47" s="22">
        <v>1</v>
      </c>
      <c r="G47" s="23" t="str">
        <f>IF(OR(D47="",F47=""),"chưa rõ",IF(F47&gt;D47,"FRACILE",IF(D47&gt;F47,"Vivoire","hoà")))</f>
        <v>Vivoire</v>
      </c>
      <c r="H47" s="19" t="s">
        <v>80</v>
      </c>
      <c r="I47" s="24" t="s">
        <v>153</v>
      </c>
    </row>
    <row r="48" ht="44" customHeight="1" spans="1:9" x14ac:dyDescent="0.25">
      <c r="A48" s="25" t="s">
        <v>16</v>
      </c>
      <c r="B48" s="26" t="s">
        <v>254</v>
      </c>
      <c r="C48" s="27" t="s">
        <v>255</v>
      </c>
      <c r="D48" s="28">
        <v>1</v>
      </c>
      <c r="E48" s="27" t="s">
        <v>256</v>
      </c>
      <c r="F48" s="28">
        <v>2</v>
      </c>
      <c r="G48" s="29" t="str">
        <f>IF(OR(D48="",F48=""),"chưa rõ",IF(F48&gt;D48,"FRACILE",IF(D48&gt;F48,"Vivoire","hoà")))</f>
        <v>FRACILE</v>
      </c>
      <c r="H48" s="25" t="s">
        <v>80</v>
      </c>
      <c r="I48" s="30" t="s">
        <v>257</v>
      </c>
    </row>
    <row r="49" ht="44" customHeight="1" spans="1:9" x14ac:dyDescent="0.25">
      <c r="A49" s="25" t="s">
        <v>16</v>
      </c>
      <c r="B49" s="26" t="s">
        <v>258</v>
      </c>
      <c r="C49" s="27" t="s">
        <v>105</v>
      </c>
      <c r="D49" s="28"/>
      <c r="E49" s="27" t="s">
        <v>259</v>
      </c>
      <c r="F49" s="28">
        <v>2</v>
      </c>
      <c r="G49" s="29" t="str">
        <f>IF(OR(D49="",F49=""),"chưa rõ",IF(F49&gt;D49,"FRACILE",IF(D49&gt;F49,"Vivoire","hoà")))</f>
        <v>chưa rõ</v>
      </c>
      <c r="H49" s="25" t="s">
        <v>80</v>
      </c>
      <c r="I49" s="30" t="s">
        <v>260</v>
      </c>
    </row>
    <row r="50" ht="44" customHeight="1" spans="1:9" x14ac:dyDescent="0.25">
      <c r="A50" s="19" t="s">
        <v>17</v>
      </c>
      <c r="B50" s="20" t="s">
        <v>261</v>
      </c>
      <c r="C50" s="21" t="s">
        <v>124</v>
      </c>
      <c r="D50" s="22">
        <v>2</v>
      </c>
      <c r="E50" s="21" t="s">
        <v>262</v>
      </c>
      <c r="F50" s="22">
        <v>2</v>
      </c>
      <c r="G50" s="23" t="str">
        <f>IF(OR(D50="",F50=""),"chưa rõ",IF(F50&gt;D50,"FRACILE",IF(D50&gt;F50,"Vivoire","hoà")))</f>
        <v>hoà</v>
      </c>
      <c r="H50" s="19" t="s">
        <v>80</v>
      </c>
      <c r="I50" s="24" t="s">
        <v>263</v>
      </c>
    </row>
    <row r="51" ht="44" customHeight="1" spans="1:9" x14ac:dyDescent="0.25">
      <c r="A51" s="19" t="s">
        <v>17</v>
      </c>
      <c r="B51" s="20" t="s">
        <v>264</v>
      </c>
      <c r="C51" s="21" t="s">
        <v>124</v>
      </c>
      <c r="D51" s="22">
        <v>2</v>
      </c>
      <c r="E51" s="21" t="s">
        <v>265</v>
      </c>
      <c r="F51" s="22">
        <v>1</v>
      </c>
      <c r="G51" s="23" t="str">
        <f>IF(OR(D51="",F51=""),"chưa rõ",IF(F51&gt;D51,"FRACILE",IF(D51&gt;F51,"Vivoire","hoà")))</f>
        <v>Vivoire</v>
      </c>
      <c r="H51" s="19" t="s">
        <v>266</v>
      </c>
      <c r="I51" s="24" t="s">
        <v>267</v>
      </c>
    </row>
    <row r="52" ht="44" customHeight="1" spans="1:9" x14ac:dyDescent="0.25">
      <c r="A52" s="19" t="s">
        <v>17</v>
      </c>
      <c r="B52" s="20" t="s">
        <v>37</v>
      </c>
      <c r="C52" s="21" t="s">
        <v>124</v>
      </c>
      <c r="D52" s="22">
        <v>2</v>
      </c>
      <c r="E52" s="21" t="s">
        <v>268</v>
      </c>
      <c r="F52" s="22">
        <v>1</v>
      </c>
      <c r="G52" s="23" t="str">
        <f>IF(OR(D52="",F52=""),"chưa rõ",IF(F52&gt;D52,"FRACILE",IF(D52&gt;F52,"Vivoire","hoà")))</f>
        <v>Vivoire</v>
      </c>
      <c r="H52" s="19" t="s">
        <v>266</v>
      </c>
      <c r="I52" s="24" t="s">
        <v>269</v>
      </c>
    </row>
    <row r="53" ht="44" customHeight="1" spans="1:9" x14ac:dyDescent="0.25">
      <c r="A53" s="19" t="s">
        <v>17</v>
      </c>
      <c r="B53" s="20" t="s">
        <v>270</v>
      </c>
      <c r="C53" s="21" t="s">
        <v>271</v>
      </c>
      <c r="D53" s="22">
        <v>2</v>
      </c>
      <c r="E53" s="21" t="s">
        <v>272</v>
      </c>
      <c r="F53" s="22">
        <v>1</v>
      </c>
      <c r="G53" s="23" t="str">
        <f>IF(OR(D53="",F53=""),"chưa rõ",IF(F53&gt;D53,"FRACILE",IF(D53&gt;F53,"Vivoire","hoà")))</f>
        <v>Vivoire</v>
      </c>
      <c r="H53" s="19" t="s">
        <v>80</v>
      </c>
      <c r="I53" s="24" t="s">
        <v>273</v>
      </c>
    </row>
    <row r="54" ht="44" customHeight="1" spans="1:9" x14ac:dyDescent="0.25">
      <c r="A54" s="25" t="s">
        <v>17</v>
      </c>
      <c r="B54" s="26" t="s">
        <v>274</v>
      </c>
      <c r="C54" s="27" t="s">
        <v>275</v>
      </c>
      <c r="D54" s="28">
        <v>1</v>
      </c>
      <c r="E54" s="27" t="s">
        <v>276</v>
      </c>
      <c r="F54" s="28">
        <v>2</v>
      </c>
      <c r="G54" s="29" t="str">
        <f>IF(OR(D54="",F54=""),"chưa rõ",IF(F54&gt;D54,"FRACILE",IF(D54&gt;F54,"Vivoire","hoà")))</f>
        <v>FRACILE</v>
      </c>
      <c r="H54" s="25" t="s">
        <v>80</v>
      </c>
      <c r="I54" s="30" t="s">
        <v>277</v>
      </c>
    </row>
    <row r="55" ht="44" customHeight="1" spans="1:9" x14ac:dyDescent="0.25">
      <c r="A55" s="25" t="s">
        <v>17</v>
      </c>
      <c r="B55" s="26" t="s">
        <v>278</v>
      </c>
      <c r="C55" s="27" t="s">
        <v>117</v>
      </c>
      <c r="D55" s="28"/>
      <c r="E55" s="27" t="s">
        <v>279</v>
      </c>
      <c r="F55" s="28">
        <v>2</v>
      </c>
      <c r="G55" s="29" t="str">
        <f>IF(OR(D55="",F55=""),"chưa rõ",IF(F55&gt;D55,"FRACILE",IF(D55&gt;F55,"Vivoire","hoà")))</f>
        <v>chưa rõ</v>
      </c>
      <c r="H55" s="25" t="s">
        <v>80</v>
      </c>
      <c r="I55" s="30" t="s">
        <v>280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281</v>
      </c>
    </row>
    <row r="2" spans="1:5" x14ac:dyDescent="0.25">
      <c r="A2" s="12" t="s">
        <v>282</v>
      </c>
      <c r="B2" s="12"/>
      <c r="C2" s="12"/>
      <c r="D2" s="12"/>
      <c r="E2" s="12"/>
    </row>
    <row r="3" spans="1:5" x14ac:dyDescent="0.25">
      <c r="A3" s="12"/>
      <c r="B3" s="12"/>
      <c r="C3" s="12"/>
      <c r="D3" s="12"/>
      <c r="E3" s="12"/>
    </row>
    <row r="5" ht="34" customHeight="1" spans="1:5" x14ac:dyDescent="0.25">
      <c r="A5" s="3" t="s">
        <v>283</v>
      </c>
      <c r="B5" s="3" t="s">
        <v>284</v>
      </c>
      <c r="C5" s="3" t="s">
        <v>285</v>
      </c>
      <c r="D5" s="3" t="s">
        <v>286</v>
      </c>
      <c r="E5" s="3" t="s">
        <v>287</v>
      </c>
    </row>
    <row r="6" ht="42" customHeight="1" spans="1:5" x14ac:dyDescent="0.25">
      <c r="A6" s="21" t="s">
        <v>288</v>
      </c>
      <c r="B6" s="21" t="s">
        <v>289</v>
      </c>
      <c r="C6" s="19" t="s">
        <v>290</v>
      </c>
      <c r="D6" s="21" t="s">
        <v>80</v>
      </c>
      <c r="E6" s="21" t="s">
        <v>291</v>
      </c>
    </row>
    <row r="7" ht="42" customHeight="1" spans="1:5" x14ac:dyDescent="0.25">
      <c r="A7" s="21" t="s">
        <v>292</v>
      </c>
      <c r="B7" s="21" t="s">
        <v>293</v>
      </c>
      <c r="C7" s="19" t="s">
        <v>290</v>
      </c>
      <c r="D7" s="21" t="s">
        <v>80</v>
      </c>
      <c r="E7" s="21" t="s">
        <v>294</v>
      </c>
    </row>
    <row r="8" ht="42" customHeight="1" spans="1:5" x14ac:dyDescent="0.25">
      <c r="A8" s="21" t="s">
        <v>295</v>
      </c>
      <c r="B8" s="21" t="s">
        <v>296</v>
      </c>
      <c r="C8" s="19" t="s">
        <v>290</v>
      </c>
      <c r="D8" s="21" t="s">
        <v>297</v>
      </c>
      <c r="E8" s="21" t="s">
        <v>298</v>
      </c>
    </row>
    <row r="9" ht="42" customHeight="1" spans="1:5" x14ac:dyDescent="0.25">
      <c r="A9" s="21" t="s">
        <v>212</v>
      </c>
      <c r="B9" s="21" t="s">
        <v>299</v>
      </c>
      <c r="C9" s="19" t="s">
        <v>290</v>
      </c>
      <c r="D9" s="21" t="s">
        <v>80</v>
      </c>
      <c r="E9" s="21" t="s">
        <v>300</v>
      </c>
    </row>
    <row r="10" ht="42" customHeight="1" spans="1:5" x14ac:dyDescent="0.25">
      <c r="A10" s="21" t="s">
        <v>301</v>
      </c>
      <c r="B10" s="21" t="s">
        <v>302</v>
      </c>
      <c r="C10" s="19" t="s">
        <v>290</v>
      </c>
      <c r="D10" s="21" t="s">
        <v>80</v>
      </c>
      <c r="E10" s="21" t="s">
        <v>303</v>
      </c>
    </row>
    <row r="11" ht="42" customHeight="1" spans="1:5" x14ac:dyDescent="0.25">
      <c r="A11" s="21" t="s">
        <v>304</v>
      </c>
      <c r="B11" s="21" t="s">
        <v>305</v>
      </c>
      <c r="C11" s="19" t="s">
        <v>290</v>
      </c>
      <c r="D11" s="21" t="s">
        <v>80</v>
      </c>
      <c r="E11" s="21" t="s">
        <v>306</v>
      </c>
    </row>
    <row r="12" ht="42" customHeight="1" spans="1:5" x14ac:dyDescent="0.25">
      <c r="A12" s="21" t="s">
        <v>307</v>
      </c>
      <c r="B12" s="21" t="s">
        <v>308</v>
      </c>
      <c r="C12" s="19" t="s">
        <v>290</v>
      </c>
      <c r="D12" s="21" t="s">
        <v>309</v>
      </c>
      <c r="E12" s="21" t="s">
        <v>310</v>
      </c>
    </row>
    <row r="13" ht="42" customHeight="1" spans="1:5" x14ac:dyDescent="0.25">
      <c r="A13" s="21" t="s">
        <v>311</v>
      </c>
      <c r="B13" s="21" t="s">
        <v>312</v>
      </c>
      <c r="C13" s="19" t="s">
        <v>290</v>
      </c>
      <c r="D13" s="21" t="s">
        <v>80</v>
      </c>
      <c r="E13" s="21" t="s">
        <v>153</v>
      </c>
    </row>
    <row r="14" ht="42" customHeight="1" spans="1:5" x14ac:dyDescent="0.25">
      <c r="A14" s="21" t="s">
        <v>218</v>
      </c>
      <c r="B14" s="21" t="s">
        <v>313</v>
      </c>
      <c r="C14" s="19" t="s">
        <v>290</v>
      </c>
      <c r="D14" s="21" t="s">
        <v>314</v>
      </c>
      <c r="E14" s="21" t="s">
        <v>315</v>
      </c>
    </row>
    <row r="15" ht="42" customHeight="1" spans="1:5" x14ac:dyDescent="0.25">
      <c r="A15" s="21" t="s">
        <v>316</v>
      </c>
      <c r="B15" s="21" t="s">
        <v>317</v>
      </c>
      <c r="C15" s="19" t="s">
        <v>290</v>
      </c>
      <c r="D15" s="21" t="s">
        <v>318</v>
      </c>
      <c r="E15" s="21" t="s">
        <v>319</v>
      </c>
    </row>
    <row r="16" ht="42" customHeight="1" spans="1:5" x14ac:dyDescent="0.25">
      <c r="A16" s="27" t="s">
        <v>320</v>
      </c>
      <c r="B16" s="27" t="s">
        <v>321</v>
      </c>
      <c r="C16" s="25" t="s">
        <v>322</v>
      </c>
      <c r="D16" s="27" t="s">
        <v>323</v>
      </c>
      <c r="E16" s="27" t="s">
        <v>324</v>
      </c>
    </row>
    <row r="17" ht="42" customHeight="1" spans="1:5" x14ac:dyDescent="0.25">
      <c r="A17" s="27" t="s">
        <v>325</v>
      </c>
      <c r="B17" s="27" t="s">
        <v>326</v>
      </c>
      <c r="C17" s="25" t="s">
        <v>322</v>
      </c>
      <c r="D17" s="27" t="s">
        <v>327</v>
      </c>
      <c r="E17" s="27" t="s">
        <v>328</v>
      </c>
    </row>
    <row r="18" ht="42" customHeight="1" spans="1:5" x14ac:dyDescent="0.25">
      <c r="A18" s="27" t="s">
        <v>329</v>
      </c>
      <c r="B18" s="27" t="s">
        <v>330</v>
      </c>
      <c r="C18" s="25" t="s">
        <v>331</v>
      </c>
      <c r="D18" s="27" t="s">
        <v>80</v>
      </c>
      <c r="E18" s="27" t="s">
        <v>332</v>
      </c>
    </row>
    <row r="19" ht="42" customHeight="1" spans="1:5" x14ac:dyDescent="0.25">
      <c r="A19" s="27" t="s">
        <v>333</v>
      </c>
      <c r="B19" s="27" t="s">
        <v>334</v>
      </c>
      <c r="C19" s="25" t="s">
        <v>322</v>
      </c>
      <c r="D19" s="27" t="s">
        <v>323</v>
      </c>
      <c r="E19" s="27" t="s">
        <v>335</v>
      </c>
    </row>
    <row r="20" ht="42" customHeight="1" spans="1:5" x14ac:dyDescent="0.25">
      <c r="A20" s="27" t="s">
        <v>336</v>
      </c>
      <c r="B20" s="27" t="s">
        <v>337</v>
      </c>
      <c r="C20" s="25" t="s">
        <v>322</v>
      </c>
      <c r="D20" s="27" t="s">
        <v>323</v>
      </c>
      <c r="E20" s="27" t="s">
        <v>338</v>
      </c>
    </row>
    <row r="21" ht="42" customHeight="1" spans="1:5" x14ac:dyDescent="0.25">
      <c r="A21" s="27" t="s">
        <v>339</v>
      </c>
      <c r="B21" s="27" t="s">
        <v>337</v>
      </c>
      <c r="C21" s="25" t="s">
        <v>340</v>
      </c>
      <c r="D21" s="27" t="s">
        <v>80</v>
      </c>
      <c r="E21" s="27" t="s">
        <v>341</v>
      </c>
    </row>
    <row r="24" spans="1:1" x14ac:dyDescent="0.25">
      <c r="A24" s="38" t="s">
        <v>342</v>
      </c>
    </row>
    <row r="25" ht="30" customHeight="1" spans="1:5" x14ac:dyDescent="0.25">
      <c r="A25" s="18" t="s">
        <v>343</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344</v>
      </c>
    </row>
    <row r="3" ht="34" customHeight="1" spans="1:4" x14ac:dyDescent="0.25">
      <c r="A3" s="3" t="s">
        <v>345</v>
      </c>
      <c r="B3" s="3" t="s">
        <v>346</v>
      </c>
      <c r="C3" s="3" t="s">
        <v>347</v>
      </c>
      <c r="D3" s="3" t="s">
        <v>348</v>
      </c>
    </row>
    <row r="4" spans="1:4" x14ac:dyDescent="0.25">
      <c r="A4" s="39" t="s">
        <v>349</v>
      </c>
      <c r="B4" s="40">
        <v>40</v>
      </c>
      <c r="C4" s="41" t="s">
        <v>350</v>
      </c>
      <c r="D4" s="42" t="s">
        <v>351</v>
      </c>
    </row>
    <row r="5" spans="1:4" x14ac:dyDescent="0.25">
      <c r="A5" s="39" t="s">
        <v>352</v>
      </c>
      <c r="B5" s="40">
        <v>413</v>
      </c>
      <c r="C5" s="41" t="s">
        <v>353</v>
      </c>
      <c r="D5" s="42" t="s">
        <v>351</v>
      </c>
    </row>
    <row r="6" spans="1:4" x14ac:dyDescent="0.25">
      <c r="A6" s="39" t="s">
        <v>354</v>
      </c>
      <c r="B6" s="40">
        <v>248</v>
      </c>
      <c r="C6" s="41" t="s">
        <v>355</v>
      </c>
      <c r="D6" s="42" t="s">
        <v>351</v>
      </c>
    </row>
    <row r="7" spans="1:4" x14ac:dyDescent="0.25">
      <c r="A7" s="39" t="s">
        <v>356</v>
      </c>
      <c r="B7" s="40">
        <v>22</v>
      </c>
      <c r="C7" s="41" t="s">
        <v>357</v>
      </c>
      <c r="D7" s="42" t="s">
        <v>358</v>
      </c>
    </row>
    <row r="8" spans="1:4" x14ac:dyDescent="0.25">
      <c r="A8" s="39" t="s">
        <v>359</v>
      </c>
      <c r="B8" s="40">
        <v>2</v>
      </c>
      <c r="C8" s="41" t="s">
        <v>360</v>
      </c>
      <c r="D8" s="42" t="s">
        <v>358</v>
      </c>
    </row>
    <row r="9" spans="1:4" x14ac:dyDescent="0.25">
      <c r="A9" s="39" t="s">
        <v>361</v>
      </c>
      <c r="B9" s="40">
        <v>23</v>
      </c>
      <c r="C9" s="41" t="s">
        <v>362</v>
      </c>
      <c r="D9" s="42" t="s">
        <v>351</v>
      </c>
    </row>
    <row r="10" spans="1:4" x14ac:dyDescent="0.25">
      <c r="A10" s="39" t="s">
        <v>363</v>
      </c>
      <c r="B10" s="40">
        <v>12</v>
      </c>
      <c r="C10" s="41" t="s">
        <v>364</v>
      </c>
      <c r="D10" s="42" t="s">
        <v>351</v>
      </c>
    </row>
    <row r="11" spans="1:4" x14ac:dyDescent="0.25">
      <c r="A11" s="39" t="s">
        <v>365</v>
      </c>
      <c r="B11" s="40">
        <v>131</v>
      </c>
      <c r="C11" s="41" t="s">
        <v>366</v>
      </c>
      <c r="D11" s="42" t="s">
        <v>351</v>
      </c>
    </row>
    <row r="12" spans="1:4" x14ac:dyDescent="0.25">
      <c r="A12" s="39" t="s">
        <v>367</v>
      </c>
      <c r="B12" s="40">
        <v>18</v>
      </c>
      <c r="C12" s="41" t="s">
        <v>368</v>
      </c>
      <c r="D12" s="42" t="s">
        <v>358</v>
      </c>
    </row>
    <row r="13" spans="1:4" x14ac:dyDescent="0.25">
      <c r="A13" s="39" t="s">
        <v>369</v>
      </c>
      <c r="B13" s="40">
        <v>57</v>
      </c>
      <c r="C13" s="41" t="s">
        <v>370</v>
      </c>
      <c r="D13" s="42" t="s">
        <v>358</v>
      </c>
    </row>
    <row r="14" spans="1:4" x14ac:dyDescent="0.25">
      <c r="A14" s="39" t="s">
        <v>371</v>
      </c>
      <c r="B14" s="40">
        <v>14</v>
      </c>
      <c r="C14" s="41" t="s">
        <v>372</v>
      </c>
      <c r="D14" s="42" t="s">
        <v>373</v>
      </c>
    </row>
    <row r="15" spans="1:4" x14ac:dyDescent="0.25">
      <c r="A15" s="39" t="s">
        <v>374</v>
      </c>
      <c r="B15" s="40">
        <v>0</v>
      </c>
      <c r="C15" s="41" t="s">
        <v>375</v>
      </c>
      <c r="D15" s="42" t="s">
        <v>351</v>
      </c>
    </row>
    <row r="16" spans="1:4" x14ac:dyDescent="0.25">
      <c r="A16" s="39" t="s">
        <v>376</v>
      </c>
      <c r="B16" s="40">
        <v>0</v>
      </c>
      <c r="C16" s="41" t="s">
        <v>377</v>
      </c>
      <c r="D16" s="42" t="s">
        <v>351</v>
      </c>
    </row>
    <row r="17" spans="1:4" x14ac:dyDescent="0.25">
      <c r="A17" s="39" t="s">
        <v>378</v>
      </c>
      <c r="B17" s="40">
        <v>8</v>
      </c>
      <c r="C17" s="41" t="s">
        <v>379</v>
      </c>
      <c r="D17" s="42" t="s">
        <v>380</v>
      </c>
    </row>
    <row r="18" spans="1:4" x14ac:dyDescent="0.25">
      <c r="A18" s="39" t="s">
        <v>381</v>
      </c>
      <c r="B18" s="40">
        <v>0</v>
      </c>
      <c r="C18" s="41" t="s">
        <v>382</v>
      </c>
      <c r="D18" s="42" t="s">
        <v>358</v>
      </c>
    </row>
    <row r="19" spans="1:4" x14ac:dyDescent="0.25">
      <c r="A19" s="39" t="s">
        <v>383</v>
      </c>
      <c r="B19" s="40">
        <v>1</v>
      </c>
      <c r="C19" s="41" t="s">
        <v>384</v>
      </c>
      <c r="D19" s="42" t="s">
        <v>373</v>
      </c>
    </row>
    <row r="21" spans="1:3" x14ac:dyDescent="0.25">
      <c r="A21" s="13" t="s">
        <v>385</v>
      </c>
      <c r="B21" s="43">
        <f>B6/B5</f>
        <v>0.5618279569892473</v>
      </c>
      <c r="C21" s="44" t="s">
        <v>386</v>
      </c>
    </row>
    <row r="22" spans="1:3" x14ac:dyDescent="0.25">
      <c r="A22" s="13" t="s">
        <v>387</v>
      </c>
      <c r="B22" s="45">
        <f>B5-B6</f>
        <v>163</v>
      </c>
      <c r="C22" s="44" t="s">
        <v>388</v>
      </c>
    </row>
    <row r="25" spans="1:1" x14ac:dyDescent="0.25">
      <c r="A25" s="38" t="s">
        <v>389</v>
      </c>
    </row>
    <row r="26" ht="34" customHeight="1" spans="1:4" x14ac:dyDescent="0.25">
      <c r="A26" s="3" t="s">
        <v>345</v>
      </c>
      <c r="B26" s="3" t="s">
        <v>346</v>
      </c>
      <c r="C26" s="3" t="s">
        <v>390</v>
      </c>
      <c r="D26" s="3" t="s">
        <v>391</v>
      </c>
    </row>
    <row r="27" spans="1:4" x14ac:dyDescent="0.25">
      <c r="A27" s="19" t="s">
        <v>146</v>
      </c>
      <c r="B27" s="21" t="s">
        <v>392</v>
      </c>
      <c r="C27" s="21" t="s">
        <v>393</v>
      </c>
      <c r="D27" s="21" t="s">
        <v>394</v>
      </c>
    </row>
    <row r="28" spans="1:4" x14ac:dyDescent="0.25">
      <c r="A28" s="19" t="s">
        <v>395</v>
      </c>
      <c r="B28" s="21" t="s">
        <v>396</v>
      </c>
      <c r="C28" s="21" t="s">
        <v>397</v>
      </c>
      <c r="D28" s="21" t="s">
        <v>394</v>
      </c>
    </row>
    <row r="29" spans="1:4" x14ac:dyDescent="0.25">
      <c r="A29" s="19" t="s">
        <v>398</v>
      </c>
      <c r="B29" s="21" t="s">
        <v>396</v>
      </c>
      <c r="C29" s="21" t="s">
        <v>397</v>
      </c>
      <c r="D29" s="21" t="s">
        <v>394</v>
      </c>
    </row>
    <row r="30" spans="1:4" x14ac:dyDescent="0.25">
      <c r="A30" s="19" t="s">
        <v>399</v>
      </c>
      <c r="B30" s="21" t="s">
        <v>400</v>
      </c>
      <c r="C30" s="21" t="s">
        <v>397</v>
      </c>
      <c r="D30" s="21" t="s">
        <v>394</v>
      </c>
    </row>
    <row r="31" spans="1:4" x14ac:dyDescent="0.25">
      <c r="A31" s="46" t="s">
        <v>401</v>
      </c>
      <c r="B31" s="47" t="s">
        <v>402</v>
      </c>
      <c r="C31" s="47" t="s">
        <v>403</v>
      </c>
      <c r="D31" s="47" t="s">
        <v>404</v>
      </c>
    </row>
    <row r="32" spans="1:4" x14ac:dyDescent="0.25">
      <c r="A32" s="46" t="s">
        <v>405</v>
      </c>
      <c r="B32" s="47" t="s">
        <v>406</v>
      </c>
      <c r="C32" s="47" t="s">
        <v>407</v>
      </c>
      <c r="D32" s="47" t="s">
        <v>404</v>
      </c>
    </row>
    <row r="33" spans="1:4" x14ac:dyDescent="0.25">
      <c r="A33" s="19" t="s">
        <v>408</v>
      </c>
      <c r="B33" s="21" t="s">
        <v>409</v>
      </c>
      <c r="C33" s="21" t="s">
        <v>410</v>
      </c>
      <c r="D33" s="21" t="s">
        <v>411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412</v>
      </c>
    </row>
    <row r="3" ht="34" customHeight="1" spans="1:5" x14ac:dyDescent="0.25">
      <c r="A3" s="3" t="s">
        <v>413</v>
      </c>
      <c r="B3" s="3" t="s">
        <v>414</v>
      </c>
      <c r="C3" s="3" t="s">
        <v>415</v>
      </c>
      <c r="D3" s="3" t="s">
        <v>416</v>
      </c>
      <c r="E3" s="3" t="s">
        <v>417</v>
      </c>
    </row>
    <row r="4" ht="62" customHeight="1" spans="1:5" x14ac:dyDescent="0.25">
      <c r="A4" s="22">
        <v>1</v>
      </c>
      <c r="B4" s="19" t="s">
        <v>418</v>
      </c>
      <c r="C4" s="21" t="s">
        <v>419</v>
      </c>
      <c r="D4" s="21" t="s">
        <v>420</v>
      </c>
      <c r="E4" s="21" t="s">
        <v>421</v>
      </c>
    </row>
    <row r="5" ht="62" customHeight="1" spans="1:5" x14ac:dyDescent="0.25">
      <c r="A5" s="22">
        <v>2</v>
      </c>
      <c r="B5" s="19" t="s">
        <v>422</v>
      </c>
      <c r="C5" s="21" t="s">
        <v>423</v>
      </c>
      <c r="D5" s="21" t="s">
        <v>424</v>
      </c>
      <c r="E5" s="21" t="s">
        <v>425</v>
      </c>
    </row>
    <row r="6" ht="62" customHeight="1" spans="1:5" x14ac:dyDescent="0.25">
      <c r="A6" s="22">
        <v>3</v>
      </c>
      <c r="B6" s="19" t="s">
        <v>426</v>
      </c>
      <c r="C6" s="21" t="s">
        <v>427</v>
      </c>
      <c r="D6" s="21" t="s">
        <v>428</v>
      </c>
      <c r="E6" s="21" t="s">
        <v>429</v>
      </c>
    </row>
    <row r="7" ht="62" customHeight="1" spans="1:5" x14ac:dyDescent="0.25">
      <c r="A7" s="22">
        <v>4</v>
      </c>
      <c r="B7" s="19" t="s">
        <v>430</v>
      </c>
      <c r="C7" s="21" t="s">
        <v>431</v>
      </c>
      <c r="D7" s="21" t="s">
        <v>432</v>
      </c>
      <c r="E7" s="21" t="s">
        <v>433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2026-09-30T18:09:41Z</dcterms:modified>
</cp:coreProperties>
</file>