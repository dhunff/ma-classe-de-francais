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ổng quan" state="visible" r:id="rId4"/>
    <sheet sheetId="2" name="So sánh chi tiết" state="visible" r:id="rId5"/>
    <sheet sheetId="3" name="Tài khoản giáo viên" state="visible" r:id="rId6"/>
    <sheet sheetId="4" name="Số liệu đo được" state="visible" r:id="rId7"/>
    <sheet sheetId="5" name="Việc cần làm" state="visible" r:id="rId8"/>
  </sheets>
  <calcPr calcId="171027"/>
</workbook>
</file>

<file path=xl/comments2.xml><?xml version="1.0" encoding="utf-8"?>
<comments xmlns="http://schemas.openxmlformats.org/spreadsheetml/2006/main">
  <authors>
    <author>Author</author>
  </authors>
  <commentList>
    <comment ref="D1" authorId="0">
      <text>
        <r>
          <t xml:space="preserve">Thang điểm: 0 = không có · 1 = có nhưng hạn chế hoặc chưa dựng xong · 2 = có và làm tốt.
Ô TRỐNG = chưa kiểm chứng được, và KHÔNG tính vào trung bình.
Mọi mục của Vivoire đọc từ trang chủ vivoire.app ngày 09/09/2026. Không có tài khoản nên không kiểm được bên trong. « Không thấy nêu » KHÔNG có nghĩa là « họ không có ».</t>
        </r>
      </text>
    </comment>
  </commentList>
</comments>
</file>

<file path=xl/sharedStrings.xml><?xml version="1.0" encoding="utf-8"?>
<sst xmlns="http://schemas.openxmlformats.org/spreadsheetml/2006/main" count="615" uniqueCount="442">
  <si>
    <t>VIVOIRE  vs  FRACILE — bảng so sánh chi tiết</t>
  </si>
  <si>
    <t>Vivoire: đọc từ trang chủ vivoire.app ngày 09/09/2026 — CHƯA đọc lại. Không có tài khoản nên không kiểm được bên trong sản phẩm.</t>
  </si>
  <si>
    <t>FRACILE: đo từ mã nguồn và database production ngày 22/09/2026.</t>
  </si>
  <si>
    <t>Mọi con số ở sheet này TÍNH từ sheet « So sánh chi tiết » — sửa điểm ở đó thì ở đây tự đổi theo.</t>
  </si>
  <si>
    <t>Nhóm</t>
  </si>
  <si>
    <t>Số mục</t>
  </si>
  <si>
    <t>So được</t>
  </si>
  <si>
    <t xml:space="preserve">Điểm TB
Vivoire</t>
  </si>
  <si>
    <t xml:space="preserve">Điểm TB
FRACILE</t>
  </si>
  <si>
    <t>Chênh lệch</t>
  </si>
  <si>
    <t>Bên nào hơn</t>
  </si>
  <si>
    <t>A. Chấm bài</t>
  </si>
  <si>
    <t>B. Mô phỏng phòng thi</t>
  </si>
  <si>
    <t>C. Thư viện nội dung</t>
  </si>
  <si>
    <t>D. Công cụ học tập</t>
  </si>
  <si>
    <t>E. Tài khoản giáo viên</t>
  </si>
  <si>
    <t>F. Nền tảng &amp; phân phối</t>
  </si>
  <si>
    <t>G. Lòng tin &amp; pháp lý</t>
  </si>
  <si>
    <t>TOÀN BỘ</t>
  </si>
  <si>
    <t>ĐỪNG ĐỌC DÒNG « TOÀN BỘ » NHƯ MỘT TỶ SỐ TRẬN ĐẤU — PHÉP CHỌN MỤC NGHIÊNG SẴN VỀ VIVOIRE.</t>
  </si>
  <si>
    <t xml:space="preserve">Hai cột « Điểm TB » chỉ tính trên những mục CẢ HAI bên đều có điểm — cột « So được » cho biết đó là bao nhiêu mục trong tổng số. Mọi mục « không thấy nêu » của Vivoire bị BỎ RA khỏi phép tính chứ không bị cho 0 điểm: tôi không có tài khoản Vivoire, và « không nêu » không phải là « không có ». Đổi lại, 19 mục FRACILE mạnh mà Vivoire không nêu (đồng hồ chạy khi đóng tab, 2 lượt nghe đếm ở máy chủ, thang chấm tự soạn…) cũng không được cộng vào đây. Bảng này đo NƠI HAI BÊN GẶP NHAU, không đo tổng giá trị hai sản phẩm.
Và chỗ hai bên gặp nhau CHÍNH LÀ mặt hàng Vivoire đem đi bán: 30 mục so được đều là thứ họ đưa lên trang chủ. Nên trung bình nghiêng về họ theo đúng cách một bảng so sánh dựng từ trang bán hàng của đối thủ sẽ nghiêng. Đọc cột « So được » trước cột « Điểm TB »: nhóm nào dưới 3 mục thì cột cuối ghi « quá ít mục » và không kết luận gì.</t>
  </si>
  <si>
    <t>THANG ĐIỂM</t>
  </si>
  <si>
    <t>0</t>
  </si>
  <si>
    <t>Không có</t>
  </si>
  <si>
    <t>1</t>
  </si>
  <si>
    <t>Có nhưng hạn chế, hoặc đã dựng mà chưa chạy được đầu-cuối</t>
  </si>
  <si>
    <t>2</t>
  </si>
  <si>
    <t>Có và làm tốt</t>
  </si>
  <si>
    <t>(trống)</t>
  </si>
  <si>
    <t>Chưa kiểm chứng được — KHÔNG tính vào trung bình</t>
  </si>
  <si>
    <t>ĐÃ ĐỔI GÌ SO VỚI BẢN 09/09 — bản này đo 24/09/2026</t>
  </si>
  <si>
    <t>Chấm PE bằng AI</t>
  </si>
  <si>
    <t>Đã dựng (Edge Function cham-pe, 38 ca kiểm) nhưng CHƯA BẬT vì thiếu khoá API. Điểm 0 → 1: có mà chưa chạy được đầu-cuối.</t>
  </si>
  <si>
    <t>Flashcard đổi mô hình</t>
  </si>
  <si>
    <t>Thẻ SM-2 sinh từ lỗi sai đã gỡ; nay là bộ do giáo viên soạn, đã chạy thật với tài khoản học sinh. Điểm cơ chế 2 → 1: mất lịch ôn ngắt quãng — đúng chỗ Vivoire mạnh.</t>
  </si>
  <si>
    <t>FAQ + Điều khoản</t>
  </si>
  <si>
    <t>Có từ 21/09. Điểm 0 → 1, chưa lên 2: cả hai chưa có email liên hệ, Điều khoản chưa qua luật sư.</t>
  </si>
  <si>
    <t>Chính sách bảo mật</t>
  </si>
  <si>
    <t>Dựng rồi gỡ cùng ngày theo quyết định chủ dự án. Vẫn 0.</t>
  </si>
  <si>
    <t>23/09 — dọn và sửa đáp án phía học sinh</t>
  </si>
  <si>
    <t>Sửa lỗi đáp án rỗng với học sinh (tô màu, điểm, điền từ, bảng, sắp xếp); 4 câu sắp xếp mang đáp án bị xáo, đã ghi lại. Gỡ /professeur/oral, xoá hai tài khoản thử, điền email liên hệ.</t>
  </si>
  <si>
    <t>23/09 — cả hai đường ghi của giáo viên đã thử xong</t>
  </si>
  <si>
    <t>Lưu lời giải: 207→209. Đặt neo: lần đầu (tab cũ) không ghi gì, sau Ctrl+F5 ngay tại trang đó thì ghi đúng. Mỗi tab giữ riêng bản mã của nó.</t>
  </si>
  <si>
    <t>23/09 — tìm ra nguyên nhân lỗi cũ</t>
  </si>
  <si>
    <t>Phép thử đối chứng trên lưu lời giải: không tải lại trang → dòng xanh, database không đổi; Ctrl+F5 rồi viết hai lần → 207 lên 209. Nguyên nhân của cả ba lỗi 'báo lưu mà không lưu' là TAB CHẠY BẢN JS CŨ, không phải máy chủ.</t>
  </si>
  <si>
    <t>22/09 — lịch ôn lưu được</t>
  </si>
  <si>
    <t>Tài khoản thật bấm Tốt nhưng database không đổi; thêm hàm chấm có biên nhận (091), sau Ctrl+F5 thì lưu được. Nguyên nhân gốc chưa chứng minh — nghi tab chạy bản JS cũ. Bốn bộ Flashcard đã công khai.</t>
  </si>
  <si>
    <t>Làm tiếp cùng ngày</t>
  </si>
  <si>
    <t>Neo 1→2: 7 câu có neo thật. Flashcard cơ chế 1→2: có lại lịch ôn SM-2. Ba bộ nháp cho Đọc/Viết/Nói. Và SỬA LẠI một con số: « 8 bài tự luận học sinh đang chờ » — 7 bài là tài khoản thử của chủ dự án.</t>
  </si>
  <si>
    <t>24/09 — hai lỗi mất dữ liệu khi LƯU BÀI</t>
  </si>
  <si>
    <t>Lưu bài xoá rồi chèn lại câu hỏi, nên (1) xoá sạch neo — 7 neo mất, đã khôi phục; (2) xoá lịch sử trả lời của học sinh qua ON DELETE CASCADE — answers còn 57 thay vì 127, KHÔNG khôi phục được. Cả hai đã sửa. Câu hỏi 372→353 và lời giải 209→188 chưa rõ nguyên nhân.</t>
  </si>
  <si>
    <t>24/09 — giao diện</t>
  </si>
  <si>
    <t>Khách chưa đăng nhập vào thẳng trang giới thiệu. Gỡ khối « Lớp của bạn » ở thanh bên. Màn Thống kê dựng lại bằng số liệu thật.</t>
  </si>
  <si>
    <t>25/09 — trang giới thiệu</t>
  </si>
  <si>
    <t>Nội dung mới do chủ dự án viết (5 chỗ chỉnh cho khớp sản phẩm: bỏ DALF, bỏ « chấm chữa theo barem », 'tự đối chiếu', 'phần lớn câu có lời giải', câu đồng ý không nhắc chính sách chưa có). Ảnh màn hình + ảnh đại diện thật, chân trang xanh, form « Gửi câu hỏi » gửi thật. Điểm « Xem đăng ký tư vấn » 1 → 2.</t>
  </si>
  <si>
    <t>25/09 — tiếp</t>
  </si>
  <si>
    <t>Chính sách bảo mật dựng lại (0 → 1). Widget chuỗi ngày tính ở máy chủ. Tìm kiếm chung. Ảnh Google làm ảnh đại diện — kèm sửa ràng buộc 046 vốn từ chối mọi ảnh https (9 tài khoản được gán ảnh Google). Cấp độ C1. Chuẩn hoá bản dịch ba thứ tiếng. Trang đăng nhập có bản tối; bỏ emoji ở các ô trống và khối điểm.</t>
  </si>
  <si>
    <t>26/09</t>
  </si>
  <si>
    <t>XP + đổi XP lấy bài + theo dõi bạn học (101–103). Tour giới thiệu cho Lịch, Flashcard, Tài khoản, XP. Trang đăng nhập có lớp phủ trượt. Chuông thông báo + nhãn XP trên thanh trên. Màn theo dõi luyện tập của giáo viên làm lại; tên Google « Quốc Hùng Đỗ » hiển thị « Đỗ Quốc Hùng ».</t>
  </si>
  <si>
    <t>26/09 — lỗi lưu bài</t>
  </si>
  <si>
    <t>Từ 24/09 mọi lần giáo viên lưu bài đều hỏng — do bản sửa 24/09 (upsert đòi quyền đọc cột đáp án). Sửa bằng RPC luu_cau_hoi (104). Phát hiện nhờ chủ dự án gửi ảnh; thông báo lỗi nay kèm lý do.</t>
  </si>
  <si>
    <t>26/09 — FAQ + Flashcard</t>
  </si>
  <si>
    <t>FAQ 1 → 2: 15 câu khớp tính năng hiện có, sửa câu hứa « xin gợi ý AI » (chưa bật). Soạn 8 bộ Flashcard mới (2 bộ/kỹ năng, 96 thẻ, B1–B2), để nháp chờ chủ dự án duyệt.</t>
  </si>
  <si>
    <t>26/09 — tiếp</t>
  </si>
  <si>
    <t>Flashcard 1 → 2: công khai 8 bộ mới, học sinh thấy 12 bộ · 131 thẻ (đo bằng claim giả). Bảng xếp hạng XP (105). Soạn 6 bài luyện nháp B1–B2 (60 câu, đủ lời giải) — chưa tính vào « Số bài luyện » tới khi công khai.</t>
  </si>
  <si>
    <t>27/09</t>
  </si>
  <si>
    <t>AI chấm PE BẬT (OpenAI gpt-6-luna, chủ dự án chọn vì rẻ nhất; thử qua giao diện: có nhận xét). Bài viết (PE) — AI chấm 1 → 2; Chấm bài cho học sinh 0 → 1. Thêm tour « Nền tối và cài đặt » + nút « Xem lại hướng dẫn »; Chính sách bảo mật ghi OpenAI.</t>
  </si>
  <si>
    <t>Số liệu trôi</t>
  </si>
  <si>
    <t>33 bài (từ 34), 372 câu (từ 373), 9 tài khoản (từ 7). Không phải lỗi — thư viện và người dùng thay đổi; bảng này là ảnh chụp của một ngày.</t>
  </si>
  <si>
    <t>Mục so sánh</t>
  </si>
  <si>
    <t>Vivoire</t>
  </si>
  <si>
    <t xml:space="preserve">Điểm
Vivoire</t>
  </si>
  <si>
    <t>FRACILE</t>
  </si>
  <si>
    <t xml:space="preserve">Điểm
FRACILE</t>
  </si>
  <si>
    <t>Ai hơn</t>
  </si>
  <si>
    <t>Trạng thái FRACILE</t>
  </si>
  <si>
    <t>Bằng chứng / nguồn đo</t>
  </si>
  <si>
    <t>Trắc nghiệm / điền từ / chia động từ</t>
  </si>
  <si>
    <t>« Đề chuẩn cấu trúc, chấm ngay »</t>
  </si>
  <si>
    <t>Chấm ở MÁY CHỦ; đáp án không cấp SELECT cho trình duyệt</t>
  </si>
  <si>
    <t>Đang chạy</t>
  </si>
  <si>
    <t>Edge Function `grade` + migration 022 (answer_key khoá khỏi anon/authenticated)</t>
  </si>
  <si>
    <t>Bài viết (PE) — tự chấm theo thang</t>
  </si>
  <si>
    <t>Không thấy nêu (họ đi hướng AI)</t>
  </si>
  <si>
    <t>Grille DELF CHÍNH THỨC, 6 tiêu chí, A1–B2; đối chiếu bài mình theo từng tiêu chí</t>
  </si>
  <si>
    <t>PESelfEvaluation.jsx + shared/grilleRubric.js; check:grille 59 ca, check:bareme 457 ca</t>
  </si>
  <si>
    <t>Bài viết (PE) — AI chấm</t>
  </si>
  <si>
    <t>AI chấm ngữ pháp và cách diễn đạt</t>
  </si>
  <si>
    <t>ĐÃ BẬT 27/09 — OpenAI gpt-6-luna. Gợi ý điểm + nhận xét tiếng Việt theo từng tiêu chí grille; không tự điền, học sinh bấm « dùng số này » mới nhận. 6 lượt / 24 giờ</t>
  </si>
  <si>
    <t>Edge Function cham-pe; chủ dự án thử qua giao diện 27/09, pe_ai_goi_y = 1 dòng (model gpt-6-luna). Đổi model: secrets set PE_AI_MODEL=…</t>
  </si>
  <si>
    <t>Bài nói (PO) — ghi âm và nghe lại</t>
  </si>
  <si>
    <t>Có, kèm phản hồi AI</t>
  </si>
  <si>
    <t>Ghi âm + tự nghe lại; CỐ Ý không cho điểm (DELF chấm nói bằng đối thoại)</t>
  </si>
  <si>
    <t>migration 057/058; bucket `bai-noi` private, đường dẫn mang phân quyền theo user_id</t>
  </si>
  <si>
    <t>Bài nói (PO) — AI nhận xét</t>
  </si>
  <si>
    <t>Phát âm 82% · Trôi chảy 76% · Từ vựng B1</t>
  </si>
  <si>
    <t>Nút « AI nhận xét » cạnh bản ghi: chép lời + góp ý ngữ pháp, từ vựng, nối ý bằng tiếng Việt. CỐ Ý không cho điểm phần trăm (quy tắc 1). 6 lượt/24 giờ</t>
  </si>
  <si>
    <t>Đã dựng 27/09 — chưa chạy đầu-cuối (kho bai-noi 0 file)</t>
  </si>
  <si>
    <t>migration 107, Edge Function nhan-xet-noi (gpt-transcribe → gpt-6-luna)</t>
  </si>
  <si>
    <t>Giáo viên chấm tay</t>
  </si>
  <si>
    <t>Có — nằm trong màn lớp học của giáo viên</t>
  </si>
  <si>
    <t>ĐÃ GỠ HẲN 09/09: route, mục menu, màn hình và nhãn i18n đều đi</t>
  </si>
  <si>
    <t>Đã gỡ — có chủ đích</t>
  </si>
  <si>
    <t>commit « Gỡ /professeur/copies ». PEGrading.jsx xoá; check:nav 94 đạt</t>
  </si>
  <si>
    <t>Lời giải thích cho câu làm sai</t>
  </si>
  <si>
    <t>Không thấy nêu trên trang chủ</t>
  </si>
  <si>
    <t>188/353 câu có lời giải (đo 24/09); có màn xếp ưu tiên theo SỐ HỌC SINH từng sai</t>
  </si>
  <si>
    <t>migration 069/070; /professeur/loi-giai</t>
  </si>
  <si>
    <t>Neo đáp án vào ngữ liệu (chỉ ra CHỖ chứa câu trả lời)</t>
  </si>
  <si>
    <t>22 câu trên 2 bài đọc có neo (7 câu « L'impact des locations saisonnières » + 15 câu « Dans le Gard… »), kèm 17 bẫy. 24/09: lưu bài không còn xoá neo</t>
  </si>
  <si>
    <t>Đang chạy — có dữ liệu</t>
  </si>
  <si>
    <t>Mỗi đoạn trích kiểm bằng kiemNeo() trên văn bản thật trước khi ghi; claim giả: học sinh đã làm đọc được 7 neo, chưa làm đọc được 0</t>
  </si>
  <si>
    <t>Đề thi thử đúng cấu trúc DELF</t>
  </si>
  <si>
    <t>DELF/DALF A1–C2</t>
  </si>
  <si>
    <t>2 đề, đủ 4 phần CO/CE/PE/PO, chỉ B1–B2</t>
  </si>
  <si>
    <t>Bảng exams + exam_sections; migration 026/044/059</t>
  </si>
  <si>
    <t>Nghe hiểu giới hạn 2 lượt phát</t>
  </si>
  <si>
    <t>Không thấy nêu</t>
  </si>
  <si>
    <t>Có, và ĐẾM Ở MÁY CHỦ — không phải ở trình duyệt nên không lách được</t>
  </si>
  <si>
    <t>RPC _exam_play; migration 024 đã thu quyền gọi trực tiếp của học sinh</t>
  </si>
  <si>
    <t>Đồng hồ chạy tiếp khi đóng tab</t>
  </si>
  <si>
    <t>Có — mốc thời gian giữ ở máy chủ</t>
  </si>
  <si>
    <t>attempts.started_at; màn thi nằm ngoài vỏ app</t>
  </si>
  <si>
    <t>Đọc hiểu chia đôi màn hình, văn bản cuộn riêng</t>
  </si>
  <si>
    <t>Có</t>
  </si>
  <si>
    <t>Màn thi thử và PESelfEvaluation dùng cùng bố cục hai cột</t>
  </si>
  <si>
    <t>Học sinh bỏ chọn phần không thi (PO)</t>
  </si>
  <si>
    <t>Có — tổng phút cam kết giảm theo, không hứa 130 phút cho buổi 115 phút</t>
  </si>
  <si>
    <t>Màn chờ thi; check:exam 114 ca</t>
  </si>
  <si>
    <t>Thang chấm do giáo viên tự soạn</t>
  </si>
  <si>
    <t>Có — exams.grille; giao diện không cần nhánh if nào</t>
  </si>
  <si>
    <t>migration 035/036; GrilleEditor.jsx</t>
  </si>
  <si>
    <t>Dải cấp độ</t>
  </si>
  <si>
    <t>A1 → C2 (6 cấp) + ôn thi cấp 3</t>
  </si>
  <si>
    <t>Nhận A1 → C1. Bài đã xuất bản (01/10): A1 9 · A2 1 · B1 18 · B2 5 · B2+ 1 · C1 0. Nháp chờ duyệt có đủ mọi cấp (A1 2 · A2 6 · B1 5 · B2 6 · B2+ 3 · C1 4) — xuất bản xong thì mọi cấp đều có bài</t>
  </si>
  <si>
    <t>Chờ duyệt nháp A2/B2+/C1</t>
  </si>
  <si>
    <t>docs/roadmap-delf.md; LEVEL_COLORS là nguồn duy nhất cho Builder + dải lọc</t>
  </si>
  <si>
    <t>Số bài luyện</t>
  </si>
  <si>
    <t>200 chép chính tả + 200 nghe điền từ (họ công bố)</t>
  </si>
  <si>
    <t>34 bài (ĐẾM THẬT trên production, 01/10)</t>
  </si>
  <si>
    <t>Đang chạy — 26 bài nháp chờ duyệt ở trang « Duyệt nháp » (02/10), xuất bản một cú bấm</t>
  </si>
  <si>
    <t>34 bài luyện công khai, đo 01/10/2026; +26 bài nháp chờ duyệt (lô 1–3, mỗi bài 8–10 câu có lời giải, gồm 3 bài đọc hiểu có ngữ liệu) — lên 60 khi xuất bản hết</t>
  </si>
  <si>
    <t>Số câu hỏi</t>
  </si>
  <si>
    <t>Không công bố</t>
  </si>
  <si>
    <t>413 câu, 7 dạng (qcm, fill, conj, vf, tableau, order, tự luận) — 60 câu thuộc bài nháp</t>
  </si>
  <si>
    <t>select count(*) from questions = 413, đo 26/09/2026</t>
  </si>
  <si>
    <t>Từ điển Pháp–Việt</t>
  </si>
  <si>
    <t>56.000+ từ · IPA · nghĩa Việt · cấp CEFR · chia động từ · tra ngay trong bài</t>
  </si>
  <si>
    <t>Có từ 29/09 (/etudiant/tu-dien): 131 mục Pháp–Việt lấy từ flashcard giáo viên công khai, tra hai chiều, không cần gõ dấu, kèm câu ví dụ. Nhỏ hơn Vivoire hàng trăm lần — không IPA, không chia động từ</t>
  </si>
  <si>
    <t>TuDien.jsx; nguồn duy nhất là the_bo_the, không nhúng từ điển ngoài hay AI. Claim giả học sinh đọc được 131 thẻ</t>
  </si>
  <si>
    <t>Podcast / học theo video</t>
  </si>
  <si>
    <t>KHÔNG CÓ</t>
  </si>
  <si>
    <t>Không có kế hoạch</t>
  </si>
  <si>
    <t/>
  </si>
  <si>
    <t>Audio bản xứ</t>
  </si>
  <si>
    <t>Có (nêu rõ « audio bản xứ »)</t>
  </si>
  <si>
    <t>Có file nghe cho phần CO, không nêu nguồn giọng đọc</t>
  </si>
  <si>
    <t>Bucket đề bài công khai</t>
  </si>
  <si>
    <t>Nhập đề hàng loạt</t>
  </si>
  <si>
    <t>Dán một khối JSON là xong cả bài 25 câu. KHÔNG đọc được .docx</t>
  </si>
  <si>
    <t>Builder.jsx — trình nhập JSON</t>
  </si>
  <si>
    <t>Flashcard — cơ chế</t>
  </si>
  <si>
    <t>Flashcard + 3 game mỗi ngày, « ôn từ đúng lúc sắp quên »</t>
  </si>
  <si>
    <t>Bộ do GIÁO VIÊN soạn, chia theo kỹ năng, thẻ lật 3D, CÓ lịch ôn SM-2 từ 21/09 (chỉ hiện thẻ đến hạn, bốn mức nhớ). Từ 28/09 có game Lộ trình dựng từ chính các bộ này</t>
  </si>
  <si>
    <t>Đang chạy — lưu thật 22/09</t>
  </si>
  <si>
    <t>migration 085–091; tài khoản thật bấm Tốt → 2 thẻ reps=1, hẹn 23/09. Mỗi lần chấm có biên nhận, hỏng thì hiện chữ đỏ</t>
  </si>
  <si>
    <t>Flashcard — quy mô</t>
  </si>
  <si>
    <t>Không công bố số thẻ</t>
  </si>
  <si>
    <t>12 bộ · 131 thẻ, cả 12 công khai (26/09), 3 bộ mỗi kỹ năng, mỗi thẻ có câu ví dụ</t>
  </si>
  <si>
    <t>Đang chạy — 12 công khai</t>
  </si>
  <si>
    <t>the_bo = 4, the_bo_the = 35; học sinh mở bằng tài khoản thật thấy đủ bốn bộ (21/09)</t>
  </si>
  <si>
    <t>Soạn thẻ hàng loạt</t>
  </si>
  <si>
    <t>Dán nhiều dòng « mặt trước | mặt sau | phiên âm »; dòng hỏng được gọi tên kèm số dòng</t>
  </si>
  <si>
    <t>shared/boTheGiaoVien.js bocDong(); chủ dự án tạo bộ thử qua giao diện 12/09</t>
  </si>
  <si>
    <t>Chuỗi ngày học</t>
  </si>
  <si>
    <t>Có, kèm nhiệm vụ và kim cương</t>
  </si>
  <si>
    <t>Có — widget trang chủ: chuỗi + 7 ô trong tuần, tính ở MÁY CHỦ từ lượt nộp bài theo giờ Việt Nam (đổi đồng hồ máy không có tác dụng)</t>
  </si>
  <si>
    <t>migration 095/096; RPC get_student_streak — đo bằng claim giả: 3 ngày liên tiếp ra 3, ngày bỏ trống cắt chuỗi (25/09)</t>
  </si>
  <si>
    <t>Tìm kiếm bài tập / học sinh</t>
  </si>
  <si>
    <t>Ô tìm ở thanh trên, mở thẳng bài hoặc hồ sơ. Chạy bằng quyền người tìm nên học sinh không thấy hồ sơ người khác</t>
  </si>
  <si>
    <t>Đang chạy — chưa thử qua giao diện</t>
  </si>
  <si>
    <t>migration 097/098; RPC global_search (SECURITY INVOKER) — giáo viên tìm « ng »: 3 bài + 6 học sinh; học sinh: 3 bài + 0</t>
  </si>
  <si>
    <t>Trò chơi / thi đấu</t>
  </si>
  <si>
    <t>Đấu dịch thuật PvP trực tiếp</t>
  </si>
  <si>
    <t>Game Lộ trình (28/09) + Thách đấu bạn bè (30/09): hai người làm cùng một đề 8 câu, máy chủ phát đề, bấm giờ và chấm; đúng nhiều hơn thắng, hoà thì ai nhanh hơn. Không theo thời gian thực. Đã chạy thật: Lộ trình có người chơi (30/09) và trận thách đấu đầu tiên giữa hai tài khoản thật đã đấu xong (30/09, hoà 2/8 – 2/8 xét giờ). Vẫn kém Vivoire ở chỗ không đấu theo thời gian thực</t>
  </si>
  <si>
    <t>Đang chạy — 8 trận thách đấu thật (02/10)</t>
  </si>
  <si>
    <t>ThachDau.jsx; migration 111. Thử trên DB thật rồi huỷ: chưa theo dõi thì bị chặn, nộp hai lần bị chặn, người ngoài không đọc được đề, điểm đối thủ bị giấu tới khi mình nộp</t>
  </si>
  <si>
    <t>XP (điểm kinh nghiệm)</t>
  </si>
  <si>
    <t>Có, kèm kim cương</t>
  </si>
  <si>
    <t>Cộng ở MÁY CHỦ: nộp bài lần đầu (10 + điểm, từ 26/09) và qua màn Lộ trình lần đầu (5 XP, thử thách 15 XP, từ 29/09); có sổ cái; đổi XP lấy bài trả phí theo giá giáo viên đặt. Chưa bài nào đặt giá XP</t>
  </si>
  <si>
    <t>Đang chạy — chưa ai đổi qua giao diện</t>
  </si>
  <si>
    <t>migration 101–103; claim giả: nộp 2 lần chỉ cộng 1 lần, đổi 15 XP mở được bài, bấm lại không trừ thêm. 5 tài khoản được cộng bù (13–52 XP)</t>
  </si>
  <si>
    <t>Theo dõi bạn học</t>
  </si>
  <si>
    <t>Có (bạn bè, bảng xếp hạng)</t>
  </si>
  <si>
    <t>Theo dõi một chiều bằng @username; thấy « hôm nay đã học chưa » + bảng xếp hạng XP trong nhóm mình theo dõi (26/09). Đã có người theo dõi qua giao diện (28/09)</t>
  </si>
  <si>
    <t>Đang chạy — 1 lượt theo dõi thật. Từ 01/10: người được theo dõi nhận thông báo ở chuông, và có màn « Mạng lưới học tập » (Người theo dõi / Đang theo dõi, theo dõi lại, bỏ theo dõi)</t>
  </si>
  <si>
    <t>RPC follow_user / get_following_streaks; chỉ lộ tên, @username, ảnh và một cờ</t>
  </si>
  <si>
    <t>Giờ học đo được</t>
  </si>
  <si>
    <t>Đo thật từ 27/09: thời gian từ lúc mở bài tới lúc nộp (kẹp 3 giờ), biểu đồ 7 ngày. Chỉ tính bài nộp từ 27/09 trở đi</t>
  </si>
  <si>
    <t>migration 106: attempts.giay_lam + RPC get_gio_hoc; không điền số ước lượng cho quá khứ</t>
  </si>
  <si>
    <t>Lộ trình học dạng game</t>
  </si>
  <si>
    <t>Lộ trình theo cấp độ</t>
  </si>
  <si>
    <t>Bản đồ uốn lượn 4 chương (Nghe/Đọc/Viết/Nói) · 12 màn = 12 bộ flashcard · trắc nghiệm hai chiều + ghép cặp · 3 tim · 1–3 sao · thử thách cuối chương · mở khoá tuần tự. Không cộng XP (chống cày)</t>
  </si>
  <si>
    <t>Đang chạy — 1 màn đã chơi thật 30/09 (2 sao, máy chủ cộng +5 XP)</t>
  </si>
  <si>
    <t>migration 108/109: lo_trinh_ket_qua + RPC ghi_ket_qua_man (giữ sao cao nhất, có biên nhận)</t>
  </si>
  <si>
    <t>Kiểm soát ai được học bài nào</t>
  </si>
  <si>
    <t>Hai tầng: trọn gói (profiles.has_premium_access) + từng bài (exercise_access)</t>
  </si>
  <si>
    <t>Đang chạy — GIỮ</t>
  </si>
  <si>
    <t>Đây chính là « kiểm soát số lượng học sinh ». AccessPanel.jsx</t>
  </si>
  <si>
    <t>Học sinh KHÔNG tự mở khoá được cho mình</t>
  </si>
  <si>
    <t>exercise_access chặn mọi lệnh ghi từ trình duyệt; phải qua Edge Function</t>
  </si>
  <si>
    <t>migration 001; grant-access giữ service_role</t>
  </si>
  <si>
    <t>Soạn đề thi thử</t>
  </si>
  <si>
    <t>Có — ghép bài từ thư viện vào 4 phần, đặt phút và điểm từng phần</t>
  </si>
  <si>
    <t>ExamComposer.jsx; /professeur/examens</t>
  </si>
  <si>
    <t>Soạn bài và quản lý thư viện</t>
  </si>
  <si>
    <t>Có — Builder, thư mục, chuyển bài giữa Entraînement và Devoir</t>
  </si>
  <si>
    <t>Builder.jsx; exerciseStore.js</t>
  </si>
  <si>
    <t>Soạn Flashcard</t>
  </si>
  <si>
    <t>Có — /professeur/bo-the: tạo bộ, nhập hàng loạt, nháp ↔ công khai, xoá (thẻ đi theo)</t>
  </si>
  <si>
    <t>RLS chỉ giáo viên ghi; đo bằng claim giả: HS thấy 8 thẻ, sửa 0, xoá 0</t>
  </si>
  <si>
    <t>Giao bài theo kỹ năng và cấp độ</t>
  </si>
  <si>
    <t>store='assignment'</t>
  </si>
  <si>
    <t>Chấm bài cho học sinh</t>
  </si>
  <si>
    <t>Có — chấm tự động và AI, giáo viên chốt</t>
  </si>
  <si>
    <t>Giáo viên không chấm (gỡ 09/09). Máy chủ chấm câu khách quan; bài viết: AI gợi ý (bật 27/09) + học sinh chốt. Chưa có bước giáo viên duyệt</t>
  </si>
  <si>
    <t>Đang chạy — không có giáo viên chốt</t>
  </si>
  <si>
    <t>Giáo viên chấm tay gỡ 09/09/2026 (có chủ đích). Chưa lên 2 vì Vivoire có giáo viên chốt điểm</t>
  </si>
  <si>
    <t>Gửi nhận xét tới một học sinh</t>
  </si>
  <si>
    <t>Có — đi đường THÔNG BÁO đang có, kèm chuông và dấu đã đọc</t>
  </si>
  <si>
    <t>Nhận xét bài nói dùng chính đường này; check:notifs 38 ca</t>
  </si>
  <si>
    <t>Lớp học video trực tiếp</t>
  </si>
  <si>
    <t>Xem đăng ký tư vấn (leads)</t>
  </si>
  <si>
    <t>Có form thu thông tin</t>
  </si>
  <si>
    <t>Có lại từ 25/09: nút « Gửi câu hỏi » mở ngăn kéo form (tên, SĐT, năm sinh, email, vai, mục tiêu, nội dung), gửi thật vào bảng leads</t>
  </si>
  <si>
    <t>Đang chạy — chưa ai gửi qua giao diện</t>
  </si>
  <si>
    <t>migration 077–080; /professeur/lien-he. Thử bằng vai anon trong khối rollback: lưu đúng. RỦI RO: thu dữ liệu cá nhân (có thể của trẻ vị thành niên) khi chưa có Chính sách bảo mật</t>
  </si>
  <si>
    <t>Số tài khoản đang có</t>
  </si>
  <si>
    <t>15 hồ sơ người dùng (gồm cả tài khoản thử)</t>
  </si>
  <si>
    <t>select count(*) from profiles = 15, đo 02/10/2026</t>
  </si>
  <si>
    <t>Giáo viên điều chỉnh lộ trình học</t>
  </si>
  <si>
    <t>Có từ 02/10 (/professeur/lo-trinh): bật/tắt màn, đổi thứ tự, đặt số câu mỗi màn; bảng tiến độ từng học sinh (sao, màn đã qua, thử thách). Chưa giáo viên nào lưu cấu hình qua giao diện</t>
  </si>
  <si>
    <t>Đang chạy — chưa ai lưu cấu hình</t>
  </si>
  <si>
    <t>migration 113: lo_trinh_cau_hinh (học sinh đọc, giáo viên ghi) + RPC lo_trinh_tien_do. Claim giả: học sinh ghi → 42501</t>
  </si>
  <si>
    <t>Duyệt và xuất bản bài soạn sẵn</t>
  </si>
  <si>
    <t>Có từ 02/10 (/professeur/duyet-nhap): đọc trọn bài (ngữ liệu, đáp án, lời giải) rồi xuất bản một cú bấm, máy chủ trả biên nhận</t>
  </si>
  <si>
    <t>Đang chạy — chưa xuất bản bài nào qua trang này</t>
  </si>
  <si>
    <t>RPC xuat_ban_nhap (113): một lệnh UPDATE, không xoá-chèn lại câu hỏi</t>
  </si>
  <si>
    <t>Web</t>
  </si>
  <si>
    <t>fracile.vercel.app / www.fracile.vn</t>
  </si>
  <si>
    <t>iOS</t>
  </si>
  <si>
    <t>Có (App Store)</t>
  </si>
  <si>
    <t>Không có trên App Store; từ 29/09 thêm được vào màn hình chính bằng Safari → Chia sẻ → « Thêm vào MH chính » (PWA), mở toàn màn hình</t>
  </si>
  <si>
    <t>Đang chạy — chưa thử trên iPhone thật</t>
  </si>
  <si>
    <t>public/manifest.webmanifest; cố ý không có service worker lưu đệm, nên không dùng offline</t>
  </si>
  <si>
    <t>Android</t>
  </si>
  <si>
    <t>Có (Google Play)</t>
  </si>
  <si>
    <t>Không có trên Google Play; từ 29/09 Chrome cho « Cài đặt ứng dụng » (PWA), có biểu tượng riêng, mở toàn màn hình</t>
  </si>
  <si>
    <t>Đang chạy — chưa thử trên điện thoại thật</t>
  </si>
  <si>
    <t>public/manifest.webmanifest + icon 192/512</t>
  </si>
  <si>
    <t>Tiến độ đồng bộ nhiều thiết bị</t>
  </si>
  <si>
    <t>Có (dữ liệu ở máy chủ), nhưng chỉ một nền tảng nên chưa thành lợi thế</t>
  </si>
  <si>
    <t>Ngôn ngữ giao diện</t>
  </si>
  <si>
    <t>Việt (giao diện) + Pháp (nội dung)</t>
  </si>
  <si>
    <t>Việt · Pháp · Anh</t>
  </si>
  <si>
    <t>shared/i18n.jsx; check:nav 74 ca. 26/09: form soạn bài (60 chuỗi), chuông thông báo, theo dõi luyện tập đã dịch — còn một số màn giáo viên cũ viết cứng tiếng Pháp</t>
  </si>
  <si>
    <t>Thanh toán</t>
  </si>
  <si>
    <t>Webhook SePay đã ghim công thức ký (ts.raw kiểu Stripe)</t>
  </si>
  <si>
    <t>check:hmac 45 ca; giao dịch #76732769 xác nhận</t>
  </si>
  <si>
    <t>Câu hỏi thường gặp (FAQ)</t>
  </si>
  <si>
    <t>15 câu (cập nhật 26/09): XP, chuỗi ngày, theo dõi bạn học, mở bài bằng XP, quên mật khẩu, liên hệ. Mỗi câu đối chiếu mã nguồn; câu AI chấm ghi rõ « chưa bật ». Có email liên hệ</t>
  </si>
  <si>
    <t>/faq; contact.fracile@gmail.com</t>
  </si>
  <si>
    <t>Điều khoản sử dụng</t>
  </si>
  <si>
    <t>Có từ 21/09 — ghi rõ điểm thi thử không phải điểm DELF chính thức; không tự đặt chính sách hoàn tiền</t>
  </si>
  <si>
    <t>Có — bản nháp, chưa qua luật sư</t>
  </si>
  <si>
    <t>/dieu-khoan</t>
  </si>
  <si>
    <t>Có từ 25/09 (/bao-mat) — có mục riêng cho dữ liệu form « Gửi câu hỏi »; gỡ 21/09 rồi dựng lại</t>
  </si>
  <si>
    <t>Điểm 0 → 1. Chưa lên 2 vì chưa qua luật sư, giống Điều khoản</t>
  </si>
  <si>
    <t>Đội ngũ công khai</t>
  </si>
  <si>
    <t>4 người, có tên và thành tích (HSG quốc gia, thạc sĩ UMass, kỹ sư AI)</t>
  </si>
  <si>
    <t>1 người — Đỗ Quốc Hùng, « Solo-creator &amp; Developer », có ảnh</t>
  </si>
  <si>
    <t>TeamSection.jsx; không ghi bằng cấp chưa kiểm chứng được</t>
  </si>
  <si>
    <t>Số liệu trên trang bán hàng</t>
  </si>
  <si>
    <t>« 56.000+ từ », « 200+200 bài » — không nói nguồn</t>
  </si>
  <si>
    <t>ĐẾM THẬT từ máy chủ lúc tải trang; hỏng thì hiện dấu gạch chứ không hiện 0</t>
  </si>
  <si>
    <t>shared/soLieuCongKhai.js; quy tắc 1 của dự án</t>
  </si>
  <si>
    <t>Giọng nói học sinh lưu ở đâu</t>
  </si>
  <si>
    <t>Bucket RIÊNG, private, không policy xoá/sửa; đường dẫn so user_id</t>
  </si>
  <si>
    <t>migration 057/058 — giọng trẻ vị thành niên ở URL đoán được là chuyện pháp lý</t>
  </si>
  <si>
    <t>TÀI KHOẢN GIÁO VIÊN — giữ để KIỂM SOÁT, không để CHẤM BÀI</t>
  </si>
  <si>
    <t>Quyết định của chủ dự án ngày 09/09/2026: giữ tài khoản giáo viên để quản lý số lượng học sinh và quyền truy cập; bỏ hoàn toàn việc giáo viên chấm bài. Học sinh tự chấm theo grille DELF; AI gợi ý chấm đã dựng nhưng chưa bật (thiếu khoá API).</t>
  </si>
  <si>
    <t>Quyền / màn hình</t>
  </si>
  <si>
    <t>Đường dẫn</t>
  </si>
  <si>
    <t>Quyết định</t>
  </si>
  <si>
    <t>Tình trạng mã nguồn HÔM NAY</t>
  </si>
  <si>
    <t>Ghi chú</t>
  </si>
  <si>
    <t>Bật/tắt quyền học từng bài cho một học sinh</t>
  </si>
  <si>
    <t>AccessPanel (trong dashboard)</t>
  </si>
  <si>
    <t>GIỮ</t>
  </si>
  <si>
    <t>Đây chính là « kiểm soát số lượng học sinh ». Ghi qua Edge Function grant-access.</t>
  </si>
  <si>
    <t>Bật/tắt trọn gói cho một học sinh</t>
  </si>
  <si>
    <t>AccessPanel</t>
  </si>
  <si>
    <t>profiles.has_premium_access — mở cả những bài chưa tồn tại lúc bật.</t>
  </si>
  <si>
    <t>Soạn / sửa / xoá bài trong thư viện</t>
  </si>
  <si>
    <t>/professeur/dashboard → Builder</t>
  </si>
  <si>
    <t>Đang chạy — sửa lỗi lưu 26/09</t>
  </si>
  <si>
    <t>LƯU BÀI HỎNG 24–26/09 (upsert từ client bị từ chối vì cột đáp án bị khoá). Nay ghi qua RPC luu_cau_hoi (104), một transaction; đã thử bằng claim giả, CHƯA thử lại qua giao diện. Form đã dịch ba thứ tiếng.</t>
  </si>
  <si>
    <t>/professeur/examens</t>
  </si>
  <si>
    <t>Ghép bài vào 4 phần CO/CE/PE/PO, đặt phút và điểm từng phần.</t>
  </si>
  <si>
    <t>Soạn thang chấm riêng cho một đề</t>
  </si>
  <si>
    <t>/professeur/grille</t>
  </si>
  <si>
    <t>CÀNG quan trọng khi học sinh tự chấm — thang là thứ duy nhất hướng dẫn họ.</t>
  </si>
  <si>
    <t>Viết lời giải thích, xếp theo số học sinh sai</t>
  </si>
  <si>
    <t>/professeur/loi-giai</t>
  </si>
  <si>
    <t>Thay thế trực tiếp cho chấm tay: dạy một lần cho tất cả, thay vì nhận xét từng bài.</t>
  </si>
  <si>
    <t>Đặt neo đáp án vào ngữ liệu</t>
  </si>
  <si>
    <t>/professeur/neo</t>
  </si>
  <si>
    <t>Đang chạy — 22 neo</t>
  </si>
  <si>
    <t>Chủ dự án đã đặt neo qua giao diện 23/09. Lưu bài trong Builder từng xoá sạch neo — sửa 23/09 (093/094).</t>
  </si>
  <si>
    <t>Sổ tay / mẹo</t>
  </si>
  <si>
    <t>/professeur/carnet</t>
  </si>
  <si>
    <t>/professeur/bo-the</t>
  </si>
  <si>
    <t>Đang chạy — chạy thật 21/09</t>
  </si>
  <si>
    <t>Dựng 09/09. Học sinh không còn tự tạo thẻ — chỉ giáo viên soạn, chặn ở database bằng RLS chứ không chỉ ẩn nút.</t>
  </si>
  <si>
    <t>Xem câu hỏi / đăng ký tư vấn</t>
  </si>
  <si>
    <t>/professeur/lien-he</t>
  </si>
  <si>
    <t>Đang chạy — có nguồn vào từ 25/09</t>
  </si>
  <si>
    <t>Nguồn: nút « Gửi câu hỏi » trên trang giới thiệu. Năm sinh nằm ở dòng đầu phần nội dung.</t>
  </si>
  <si>
    <t>Nghe bản ghi âm bài nói của học sinh</t>
  </si>
  <si>
    <t>/professeur/oral</t>
  </si>
  <si>
    <t>ĐÃ GỠ</t>
  </si>
  <si>
    <t>Không còn trong mã</t>
  </si>
  <si>
    <t>Gỡ 23/09 theo quyết định chủ dự án. Học sinh vẫn ghi âm để tự nghe lại.</t>
  </si>
  <si>
    <t>Tạo / xoá tài khoản học sinh</t>
  </si>
  <si>
    <t>/professeur (Theo dõi học sinh)</t>
  </si>
  <si>
    <t>Không còn nút</t>
  </si>
  <si>
    <t>Gỡ 24/09: ô « Créer le compte » và nút « Supprimer ». Học sinh tự đăng ký; giáo viên chỉ theo dõi, xếp lớp, gửi link đổi mật khẩu.</t>
  </si>
  <si>
    <t>Thống kê lớp</t>
  </si>
  <si>
    <t>/professeur (Thống kê)</t>
  </si>
  <si>
    <t>GIỮ — DỰNG LẠI</t>
  </si>
  <si>
    <t>Dựng lại 24/09: KPI, phân bố điểm, TB theo kỹ năng, top học sinh, bảng xu hướng. Màn cũ đọc kho bài giao gần như rỗng nên hiện 0/0; nay đọc lượt làm bài thật.</t>
  </si>
  <si>
    <t>Chấm bài viết của học sinh</t>
  </si>
  <si>
    <t>/professeur/copies</t>
  </si>
  <si>
    <t>Gỡ 09/09/2026: route, mục menu, PEGrading.jsx và khoá nav.grading ở cả bốn từ điển. Gỡ CẢ mục menu chứ không giấu lối vào — check:nav bắt lỗi route không ai vào được.</t>
  </si>
  <si>
    <t>Ô « Bài cần chấm » trên trang chủ giáo viên</t>
  </si>
  <si>
    <t>/professeur/dashboard</t>
  </si>
  <si>
    <t>Con số không sai, nhưng nó đếm một việc không ai làm được nữa và tô màu cảnh báo cho nó. Danh sách « Bài nộp gần đây » ngay dưới vẫn ghi rõ bài nào chưa có điểm.</t>
  </si>
  <si>
    <t>Nhãn trạng thái trên từng dòng bài nộp</t>
  </si>
  <si>
    <t>ĐÃ ĐỔI CHỮ</t>
  </si>
  <si>
    <t>« Chờ chấm » → « Chưa chấm » (Non noté / Not marked): mô tả trạng thái thay vì hứa một hành động sẽ không xảy ra.</t>
  </si>
  <si>
    <t>MỘT CÂU PHẢI NÓI THẲNG</t>
  </si>
  <si>
    <t xml:space="preserve">Bỏ giáo viên chấm bài chưa tự động thành « AI chấm ». Chấm AI đã DỰNG (Edge Function cham-pe) nhưng CHƯA CHẠY: thiếu khoá ANTHROPIC_API_KEY, gọi vào nhận 503 CHUA_CAU_HINH_KHOA, và bảng gợi ý có 0 dòng (đo 21/09).
Nên kể từ 09/09, bài viết của học sinh chỉ còn MỘT đường: tự chấm theo grille DELF. Khoảng trống này kéo dài đúng bằng thời gian tới khi đặt khoá — việc số 1 trong sheet « Việc cần làm ».
Và 8 bài tự luận đã nộp chưa có điểm nào — không điểm giáo viên, không điểm tự chấm. Chưa ai báo gì cho người viết chúng.</t>
  </si>
  <si>
    <t>SỐ LIỆU ĐO THẬT — không con số nào ở đây là ước lượng</t>
  </si>
  <si>
    <t>Chỉ số</t>
  </si>
  <si>
    <t>Giá trị</t>
  </si>
  <si>
    <t>Cách đo</t>
  </si>
  <si>
    <t>Ngày đo</t>
  </si>
  <si>
    <t>Bài tập</t>
  </si>
  <si>
    <t>select count(*) from exercises — 33 luyện tập + 1 bài giao + 6 NHÁP chờ duyệt</t>
  </si>
  <si>
    <t>26/09/2026</t>
  </si>
  <si>
    <t>Câu hỏi</t>
  </si>
  <si>
    <t>select count(*) from questions — gồm 60 câu của 6 bài nháp</t>
  </si>
  <si>
    <t>Câu có lời giải thích</t>
  </si>
  <si>
    <t>questions where explanation is not null — gồm 60 câu nháp</t>
  </si>
  <si>
    <t>Câu có neo ngữ liệu</t>
  </si>
  <si>
    <t>questions where evidence is not null — trên 2 bài</t>
  </si>
  <si>
    <t>24/09/2026</t>
  </si>
  <si>
    <t>Đề thi thử</t>
  </si>
  <si>
    <t>select count(*) from exams</t>
  </si>
  <si>
    <t>Lượt làm bài đã chấm</t>
  </si>
  <si>
    <t>attempts where finished_at is not null</t>
  </si>
  <si>
    <t>Bộ Flashcard (cả 12 công khai)</t>
  </si>
  <si>
    <t>select count(*) from the_bo where cong_khai</t>
  </si>
  <si>
    <t>Thẻ trong các bộ</t>
  </si>
  <si>
    <t>select count(*) from the_bo_the</t>
  </si>
  <si>
    <t>Thẻ trong bảng cards</t>
  </si>
  <si>
    <t>select count(*) from cards — 36 thẻ đi theo hai tài khoản thử đã xoá</t>
  </si>
  <si>
    <t>Lượt trả lời đã ghi</t>
  </si>
  <si>
    <t>select count(*) from answers — 50 đi theo tài khoản thử, ~70 mất vì lỗi lưu bài (đã sửa)</t>
  </si>
  <si>
    <t>Tài khoản</t>
  </si>
  <si>
    <t>select count(*) from profiles</t>
  </si>
  <si>
    <t>27/09/2026</t>
  </si>
  <si>
    <t>Lượt đổi XP lấy bài</t>
  </si>
  <si>
    <t>exercise_access where status='XP' — chưa bài nào đặt giá XP</t>
  </si>
  <si>
    <t>Lượt theo dõi bạn học</t>
  </si>
  <si>
    <t>select count(*) from follows</t>
  </si>
  <si>
    <t>Bài tự luận CHƯA có điểm nào</t>
  </si>
  <si>
    <t>câu open, không điểm GV lẫn tự chấm. 7/8 thuộc 2 tài khoản thử của chủ dự án; 1 bài của học sinh thật, dài 12 ký tự</t>
  </si>
  <si>
    <t>21/09/2026</t>
  </si>
  <si>
    <t>Lượt ôn Flashcard đã ghi</t>
  </si>
  <si>
    <t>reviews có reps &gt; 0 trên thẻ bo_giao_vien — 2 lượt cũ thuộc tài khoản thử đã xoá</t>
  </si>
  <si>
    <t>Gợi ý chấm AI đã sinh</t>
  </si>
  <si>
    <t>select count(*) from pe_ai_goi_y — gpt-6-luna, bật 27/09</t>
  </si>
  <si>
    <t>Tỷ lệ câu có lời giải</t>
  </si>
  <si>
    <t>= câu có lời giải ÷ tổng câu hỏi</t>
  </si>
  <si>
    <t>Số câu còn thiếu lời giải</t>
  </si>
  <si>
    <t>Trong đó 25 câu vf vốn đã có justification sẵn</t>
  </si>
  <si>
    <t>VIVOIRE — họ công bố, tôi KHÔNG kiểm chứng được</t>
  </si>
  <si>
    <t>Nguồn</t>
  </si>
  <si>
    <t>Độ tin</t>
  </si>
  <si>
    <t>56.000+ từ</t>
  </si>
  <si>
    <t>trang chủ vivoire.app</t>
  </si>
  <si>
    <t>họ tự công bố</t>
  </si>
  <si>
    <t>Bài chép chính tả</t>
  </si>
  <si>
    <t>200</t>
  </si>
  <si>
    <t>trang chủ</t>
  </si>
  <si>
    <t>Bài nghe điền từ</t>
  </si>
  <si>
    <t>Cấp độ</t>
  </si>
  <si>
    <t>A1 → C2</t>
  </si>
  <si>
    <t>Học viên một lớp</t>
  </si>
  <si>
    <t>28</t>
  </si>
  <si>
    <t>ảnh minh hoạ trên trang chủ</t>
  </si>
  <si>
    <t>ẢNH MINH HOẠ — không phải số thật</t>
  </si>
  <si>
    <t>Phản hồi AI bài nói</t>
  </si>
  <si>
    <t>Phát âm 82% · Trôi chảy 76%</t>
  </si>
  <si>
    <t>ảnh minh hoạ</t>
  </si>
  <si>
    <t>Khối đếm trên trang chủ</t>
  </si>
  <si>
    <t>hiện 0</t>
  </si>
  <si>
    <t>đọc trực tiếp DOM 09/09</t>
  </si>
  <si>
    <t>gần như chắc chắn là hiệu ứng đếm chưa chạy</t>
  </si>
  <si>
    <t>RÚT RA TỪ BẢNG — xếp theo thứ tự nên làm</t>
  </si>
  <si>
    <t>#</t>
  </si>
  <si>
    <t>Việc</t>
  </si>
  <si>
    <t>Vì sao đứng ở vị trí này</t>
  </si>
  <si>
    <t>Chạm vào đâu</t>
  </si>
  <si>
    <t>Công sức</t>
  </si>
  <si>
    <t>Đặt khoá API để bật chấm PE bằng AI</t>
  </si>
  <si>
    <t>Chủ dự án tạm gác 23/09. Mọi thứ đã dựng và kiểm; thiếu khoá thì nút « Xin gợi ý » báo tính năng chưa bật, không lỗi.</t>
  </si>
  <si>
    <t>npx supabase secrets set ANTHROPIC_API_KEY=sk-ant-…</t>
  </si>
  <si>
    <t>5 phút</t>
  </si>
  <si>
    <t>Xem 5 tài khoản không có hồ sơ</t>
  </si>
  <si>
    <t>14 tài khoản đăng nhập nhưng chỉ 9 hồ sơ. Có thể là tài khoản thử khác, hoặc người đăng ký dở — chưa ai xem.</t>
  </si>
  <si>
    <t>Quyết định sau khi xem danh sách</t>
  </si>
  <si>
    <t>10 phút</t>
  </si>
  <si>
    <t>Cân nhắc dựng lại Chính sách bảo mật trước khi thu tiền nhiều</t>
  </si>
  <si>
    <t>Đã gỡ theo quyết định 21/09; nội dung còn trong git.</t>
  </si>
  <si>
    <t>Lấy TrangBaoMat từ commit cũ + route /bao-mat</t>
  </si>
  <si>
    <t>30 phút</t>
  </si>
  <si>
    <t>Cân nhắc KHÔNG đuổi theo: từ điển, podcast, PvP, app mobile</t>
  </si>
  <si>
    <t>Bốn ô Vivoire hơn tuyệt đối. Đuổi theo cả bốn với một người là cách chắc chắn để không ô nào xong.</t>
  </si>
  <si>
    <t>—</t>
  </si>
  <si>
    <t>quyết định, không phải mã</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</si>
</sst>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4" x14ac:knownFonts="1">
    <font>
      <color theme="1"/>
      <family val="2"/>
      <scheme val="minor"/>
      <sz val="11"/>
      <name val="Calibri"/>
    </font>
    <font>
      <b/>
      <color rgb="FF1F3864"/>
      <sz val="16"/>
      <name val="Arial"/>
    </font>
    <font>
      <i/>
      <color rgb="FF595959"/>
      <sz val="9"/>
      <name val="Arial"/>
    </font>
    <font>
      <b/>
      <color rgb="FFFFFFFF"/>
      <sz val="10"/>
      <name val="Arial"/>
    </font>
    <font>
      <b/>
      <sz val="10"/>
      <name val="Arial"/>
    </font>
    <font>
      <sz val="10"/>
      <name val="Arial"/>
    </font>
    <font>
      <b/>
      <color rgb="FFC00000"/>
      <sz val="9"/>
      <name val="Arial"/>
    </font>
    <font>
      <b/>
      <sz val="9"/>
      <name val="Arial"/>
    </font>
    <font>
      <sz val="9"/>
      <name val="Arial"/>
    </font>
    <font>
      <b/>
      <color rgb="FF1F3864"/>
      <sz val="10"/>
      <name val="Arial"/>
    </font>
    <font>
      <color rgb="FF595959"/>
      <sz val="8"/>
      <name val="Arial"/>
    </font>
    <font>
      <b/>
      <color rgb="FF1F3864"/>
      <sz val="14"/>
      <name val="Arial"/>
    </font>
    <font>
      <b/>
      <color rgb="FFC00000"/>
      <sz val="10"/>
      <name val="Arial"/>
    </font>
    <font>
      <i/>
      <sz val="9"/>
      <name val="Arial"/>
    </font>
  </fonts>
  <fills count="7">
    <fill>
      <patternFill patternType="none"/>
    </fill>
    <fill>
      <patternFill patternType="gray125"/>
    </fill>
    <fill>
      <patternFill patternType="solid">
        <fgColor rgb="FF1F3864"/>
      </patternFill>
    </fill>
    <fill>
      <patternFill patternType="solid">
        <fgColor rgb="FFD9E2F3"/>
      </patternFill>
    </fill>
    <fill>
      <patternFill patternType="solid">
        <fgColor rgb="FFE2EFDA"/>
      </patternFill>
    </fill>
    <fill>
      <patternFill patternType="solid">
        <fgColor rgb="FFFCE4E4"/>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8">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4" fillId="0" borderId="1" xfId="0" applyFont="1" applyBorder="1"/>
    <xf numFmtId="1" fontId="5" fillId="0" borderId="1" xfId="0" applyNumberFormat="1" applyFont="1" applyBorder="1" applyAlignment="1">
      <alignment horizontal="center"/>
    </xf>
    <xf numFmtId="2" fontId="5" fillId="0" borderId="1" xfId="0" applyNumberFormat="1" applyFont="1" applyBorder="1" applyAlignment="1">
      <alignment horizontal="center"/>
    </xf>
    <xf numFmtId="2" fontId="4" fillId="0" borderId="1" xfId="0" applyNumberFormat="1" applyFont="1" applyBorder="1" applyAlignment="1">
      <alignment horizontal="center"/>
    </xf>
    <xf numFmtId="0" fontId="4" fillId="3" borderId="1" xfId="0" applyFont="1" applyFill="1" applyBorder="1" applyAlignment="1">
      <alignment horizontal="left"/>
    </xf>
    <xf numFmtId="1" fontId="4" fillId="3" borderId="1" xfId="0" applyNumberFormat="1" applyFont="1" applyFill="1" applyBorder="1" applyAlignment="1">
      <alignment horizontal="center"/>
    </xf>
    <xf numFmtId="2" fontId="4" fillId="3" borderId="1" xfId="0" applyNumberFormat="1" applyFont="1" applyFill="1" applyBorder="1" applyAlignment="1">
      <alignment horizontal="center"/>
    </xf>
    <xf numFmtId="0" fontId="6" fillId="0" borderId="0" xfId="0" applyFont="1"/>
    <xf numFmtId="0" fontId="2" fillId="0" borderId="0" xfId="0" applyFont="1" applyAlignment="1">
      <alignment vertical="top" wrapText="1"/>
    </xf>
    <xf numFmtId="0" fontId="4" fillId="0" borderId="0" xfId="0" applyFont="1"/>
    <xf numFmtId="0" fontId="7" fillId="0" borderId="0" xfId="0" applyFont="1"/>
    <xf numFmtId="0" fontId="8" fillId="0" borderId="0" xfId="0" applyFont="1"/>
    <xf numFmtId="0" fontId="9" fillId="0" borderId="0" xfId="0" applyFont="1"/>
    <xf numFmtId="0" fontId="7" fillId="0" borderId="0" xfId="0" applyFont="1" applyAlignment="1">
      <alignment vertical="top" wrapText="1"/>
    </xf>
    <xf numFmtId="0" fontId="8" fillId="0" borderId="0" xfId="0" applyFont="1" applyAlignment="1">
      <alignment vertical="top" wrapText="1"/>
    </xf>
    <xf numFmtId="0" fontId="7" fillId="0" borderId="1" xfId="0" applyFont="1" applyBorder="1" applyAlignment="1">
      <alignment vertical="top" wrapText="1"/>
    </xf>
    <xf numFmtId="0" fontId="4" fillId="0" borderId="1" xfId="0" applyFont="1" applyBorder="1" applyAlignment="1">
      <alignment vertical="top" wrapText="1"/>
    </xf>
    <xf numFmtId="0" fontId="8" fillId="0" borderId="1" xfId="0" applyFont="1" applyBorder="1" applyAlignment="1">
      <alignment vertical="top" wrapText="1"/>
    </xf>
    <xf numFmtId="0" fontId="8" fillId="0" borderId="1" xfId="0" applyFont="1" applyBorder="1" applyAlignment="1">
      <alignment horizontal="center" vertical="top" wrapText="1"/>
    </xf>
    <xf numFmtId="0" fontId="7" fillId="0" borderId="1" xfId="0" applyFont="1" applyBorder="1" applyAlignment="1">
      <alignment horizontal="center" vertical="top" wrapText="1"/>
    </xf>
    <xf numFmtId="0" fontId="10" fillId="0" borderId="1" xfId="0" applyFont="1" applyBorder="1" applyAlignment="1">
      <alignment vertical="top" wrapText="1"/>
    </xf>
    <xf numFmtId="0" fontId="7" fillId="4" borderId="1" xfId="0" applyFont="1" applyFill="1" applyBorder="1" applyAlignment="1">
      <alignment vertical="top" wrapText="1"/>
    </xf>
    <xf numFmtId="0" fontId="4" fillId="4" borderId="1" xfId="0" applyFont="1" applyFill="1" applyBorder="1" applyAlignment="1">
      <alignment vertical="top" wrapText="1"/>
    </xf>
    <xf numFmtId="0" fontId="8" fillId="4" borderId="1" xfId="0" applyFont="1" applyFill="1" applyBorder="1" applyAlignment="1">
      <alignment vertical="top" wrapText="1"/>
    </xf>
    <xf numFmtId="0" fontId="8" fillId="4" borderId="1" xfId="0" applyFont="1" applyFill="1" applyBorder="1" applyAlignment="1">
      <alignment horizontal="center" vertical="top" wrapText="1"/>
    </xf>
    <xf numFmtId="0" fontId="7" fillId="4" borderId="1" xfId="0" applyFont="1" applyFill="1" applyBorder="1" applyAlignment="1">
      <alignment horizontal="center" vertical="top" wrapText="1"/>
    </xf>
    <xf numFmtId="0" fontId="10" fillId="4" borderId="1" xfId="0" applyFont="1" applyFill="1" applyBorder="1" applyAlignment="1">
      <alignment vertical="top" wrapText="1"/>
    </xf>
    <xf numFmtId="0" fontId="7" fillId="5" borderId="1" xfId="0" applyFont="1" applyFill="1" applyBorder="1" applyAlignment="1">
      <alignment vertical="top" wrapText="1"/>
    </xf>
    <xf numFmtId="0" fontId="4" fillId="5" borderId="1" xfId="0" applyFont="1" applyFill="1" applyBorder="1" applyAlignment="1">
      <alignment vertical="top" wrapText="1"/>
    </xf>
    <xf numFmtId="0" fontId="8" fillId="5" borderId="1" xfId="0" applyFont="1" applyFill="1" applyBorder="1" applyAlignment="1">
      <alignment vertical="top" wrapText="1"/>
    </xf>
    <xf numFmtId="0" fontId="8" fillId="5" borderId="1" xfId="0" applyFont="1" applyFill="1" applyBorder="1" applyAlignment="1">
      <alignment horizontal="center" vertical="top" wrapText="1"/>
    </xf>
    <xf numFmtId="0" fontId="7" fillId="5" borderId="1" xfId="0" applyFont="1" applyFill="1" applyBorder="1" applyAlignment="1">
      <alignment horizontal="center" vertical="top" wrapText="1"/>
    </xf>
    <xf numFmtId="0" fontId="10" fillId="5" borderId="1" xfId="0" applyFont="1" applyFill="1" applyBorder="1" applyAlignment="1">
      <alignment vertical="top" wrapText="1"/>
    </xf>
    <xf numFmtId="0" fontId="11" fillId="0" borderId="0" xfId="0" applyFont="1"/>
    <xf numFmtId="0" fontId="12" fillId="0" borderId="0" xfId="0" applyFont="1"/>
    <xf numFmtId="0" fontId="4" fillId="0" borderId="1" xfId="0" applyFont="1" applyBorder="1" applyAlignment="1">
      <alignment vertical="top"/>
    </xf>
    <xf numFmtId="0" fontId="5" fillId="0" borderId="1" xfId="0" applyFont="1" applyBorder="1" applyAlignment="1">
      <alignment horizontal="center" vertical="top"/>
    </xf>
    <xf numFmtId="0" fontId="5" fillId="0" borderId="1" xfId="0" applyFont="1" applyBorder="1" applyAlignment="1">
      <alignment vertical="top" wrapText="1"/>
    </xf>
    <xf numFmtId="0" fontId="5" fillId="0" borderId="1" xfId="0" applyFont="1" applyBorder="1" applyAlignment="1">
      <alignment vertical="top"/>
    </xf>
    <xf numFmtId="164" fontId="0" fillId="0" borderId="0" xfId="0" applyNumberFormat="1" applyAlignment="1">
      <alignment horizontal="center"/>
    </xf>
    <xf numFmtId="0" fontId="13" fillId="0" borderId="0" xfId="0" applyFont="1"/>
    <xf numFmtId="0" fontId="0" fillId="0" borderId="0" xfId="0" applyAlignment="1">
      <alignment horizontal="center"/>
    </xf>
    <xf numFmtId="0" fontId="7" fillId="6" borderId="1" xfId="0" applyFont="1" applyFill="1" applyBorder="1" applyAlignment="1">
      <alignment vertical="top" wrapText="1"/>
    </xf>
    <xf numFmtId="0" fontId="8" fillId="6"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46"/>
  <sheetFormatPr defaultRowHeight="15" outlineLevelRow="0" outlineLevelCol="0" x14ac:dyDescent="55"/>
  <cols>
    <col min="1" max="1" width="26" customWidth="1"/>
    <col min="2" max="3" width="11" customWidth="1"/>
    <col min="4" max="6" width="12" customWidth="1"/>
    <col min="7" max="7" width="15" customWidth="1"/>
  </cols>
  <sheetData>
    <row r="1" spans="1:1" x14ac:dyDescent="0.25">
      <c r="A1" s="1" t="s">
        <v>0</v>
      </c>
    </row>
    <row r="2" spans="1:1" x14ac:dyDescent="0.25">
      <c r="A2" s="2" t="s">
        <v>1</v>
      </c>
    </row>
    <row r="3" spans="1:1" x14ac:dyDescent="0.25">
      <c r="A3" s="2" t="s">
        <v>2</v>
      </c>
    </row>
    <row r="4" spans="1:1" x14ac:dyDescent="0.25">
      <c r="A4" s="2" t="s">
        <v>3</v>
      </c>
    </row>
    <row r="6" ht="34" customHeight="1" spans="1:7" x14ac:dyDescent="0.25">
      <c r="A6" s="3" t="s">
        <v>4</v>
      </c>
      <c r="B6" s="3" t="s">
        <v>5</v>
      </c>
      <c r="C6" s="3" t="s">
        <v>6</v>
      </c>
      <c r="D6" s="3" t="s">
        <v>7</v>
      </c>
      <c r="E6" s="3" t="s">
        <v>8</v>
      </c>
      <c r="F6" s="3" t="s">
        <v>9</v>
      </c>
      <c r="G6" s="3" t="s">
        <v>10</v>
      </c>
    </row>
    <row r="7" ht="20" customHeight="1" spans="1:7" x14ac:dyDescent="0.25">
      <c r="A7" s="4" t="s">
        <v>11</v>
      </c>
      <c r="B7" s="5">
        <f>COUNTIF('So sánh chi tiết'!$A$2:$A$57,$A7)</f>
        <v>8</v>
      </c>
      <c r="C7" s="5">
        <f>SUMPRODUCT(('So sánh chi tiết'!$A$2:$A$57=$A7)*('So sánh chi tiết'!$D$2:$D$57&lt;&gt;"")*('So sánh chi tiết'!$F$2:$F$57&lt;&gt;""))</f>
        <v>6</v>
      </c>
      <c r="D7" s="6">
        <f>IFERROR(SUMPRODUCT(('So sánh chi tiết'!$A$2:$A$57=$A7)*('So sánh chi tiết'!$D$2:$D$57&lt;&gt;"")*('So sánh chi tiết'!$F$2:$F$57&lt;&gt;"")*'So sánh chi tiết'!$D$2:$D$57)/SUMPRODUCT(('So sánh chi tiết'!$A$2:$A$57=$A7)*('So sánh chi tiết'!$D$2:$D$57&lt;&gt;"")*('So sánh chi tiết'!$F$2:$F$57&lt;&gt;"")),"")</f>
        <v>1.6666666666666667</v>
      </c>
      <c r="E7" s="6">
        <f>IFERROR(SUMPRODUCT(('So sánh chi tiết'!$A$2:$A$57=$A7)*('So sánh chi tiết'!$D$2:$D$57&lt;&gt;"")*('So sánh chi tiết'!$F$2:$F$57&lt;&gt;"")*'So sánh chi tiết'!$F$2:$F$57)/SUMPRODUCT(('So sánh chi tiết'!$A$2:$A$57=$A7)*('So sánh chi tiết'!$D$2:$D$57&lt;&gt;"")*('So sánh chi tiết'!$F$2:$F$57&lt;&gt;"")),"")</f>
        <v>1.3333333333333333</v>
      </c>
      <c r="F7" s="6">
        <f>IFERROR(E7-D7,"")</f>
        <v>-0.3333333333333335</v>
      </c>
      <c r="G7" s="7" t="str">
        <f>IF(OR(C7&lt;3,F7=""),"quá ít mục",IF(F7&gt;0.25,"FRACILE",IF(F7&lt;-0.25,"Vivoire","ngang nhau")))</f>
        <v>Vivoire</v>
      </c>
    </row>
    <row r="8" ht="20" customHeight="1" spans="1:7" x14ac:dyDescent="0.25">
      <c r="A8" s="4" t="s">
        <v>12</v>
      </c>
      <c r="B8" s="5">
        <f>COUNTIF('So sánh chi tiết'!$A$2:$A$57,$A8)</f>
        <v>6</v>
      </c>
      <c r="C8" s="5">
        <f>SUMPRODUCT(('So sánh chi tiết'!$A$2:$A$57=$A8)*('So sánh chi tiết'!$D$2:$D$57&lt;&gt;"")*('So sánh chi tiết'!$F$2:$F$57&lt;&gt;""))</f>
        <v>1</v>
      </c>
      <c r="D8" s="6">
        <f>IFERROR(SUMPRODUCT(('So sánh chi tiết'!$A$2:$A$57=$A8)*('So sánh chi tiết'!$D$2:$D$57&lt;&gt;"")*('So sánh chi tiết'!$F$2:$F$57&lt;&gt;"")*'So sánh chi tiết'!$D$2:$D$57)/SUMPRODUCT(('So sánh chi tiết'!$A$2:$A$57=$A8)*('So sánh chi tiết'!$D$2:$D$57&lt;&gt;"")*('So sánh chi tiết'!$F$2:$F$57&lt;&gt;"")),"")</f>
        <v>2</v>
      </c>
      <c r="E8" s="6">
        <f>IFERROR(SUMPRODUCT(('So sánh chi tiết'!$A$2:$A$57=$A8)*('So sánh chi tiết'!$D$2:$D$57&lt;&gt;"")*('So sánh chi tiết'!$F$2:$F$57&lt;&gt;"")*'So sánh chi tiết'!$F$2:$F$57)/SUMPRODUCT(('So sánh chi tiết'!$A$2:$A$57=$A8)*('So sánh chi tiết'!$D$2:$D$57&lt;&gt;"")*('So sánh chi tiết'!$F$2:$F$57&lt;&gt;"")),"")</f>
        <v>1</v>
      </c>
      <c r="F8" s="6">
        <f>IFERROR(E8-D8,"")</f>
        <v>-1</v>
      </c>
      <c r="G8" s="7" t="str">
        <f>IF(OR(C8&lt;3,F8=""),"quá ít mục",IF(F8&gt;0.25,"FRACILE",IF(F8&lt;-0.25,"Vivoire","ngang nhau")))</f>
        <v>quá ít mục</v>
      </c>
    </row>
    <row r="9" ht="20" customHeight="1" spans="1:7" x14ac:dyDescent="0.25">
      <c r="A9" s="4" t="s">
        <v>13</v>
      </c>
      <c r="B9" s="5">
        <f>COUNTIF('So sánh chi tiết'!$A$2:$A$57,$A9)</f>
        <v>7</v>
      </c>
      <c r="C9" s="5">
        <f>SUMPRODUCT(('So sánh chi tiết'!$A$2:$A$57=$A9)*('So sánh chi tiết'!$D$2:$D$57&lt;&gt;"")*('So sánh chi tiết'!$F$2:$F$57&lt;&gt;""))</f>
        <v>5</v>
      </c>
      <c r="D9" s="6">
        <f>IFERROR(SUMPRODUCT(('So sánh chi tiết'!$A$2:$A$57=$A9)*('So sánh chi tiết'!$D$2:$D$57&lt;&gt;"")*('So sánh chi tiết'!$F$2:$F$57&lt;&gt;"")*'So sánh chi tiết'!$D$2:$D$57)/SUMPRODUCT(('So sánh chi tiết'!$A$2:$A$57=$A9)*('So sánh chi tiết'!$D$2:$D$57&lt;&gt;"")*('So sánh chi tiết'!$F$2:$F$57&lt;&gt;"")),"")</f>
        <v>2</v>
      </c>
      <c r="E9" s="6">
        <f>IFERROR(SUMPRODUCT(('So sánh chi tiết'!$A$2:$A$57=$A9)*('So sánh chi tiết'!$D$2:$D$57&lt;&gt;"")*('So sánh chi tiết'!$F$2:$F$57&lt;&gt;"")*'So sánh chi tiết'!$F$2:$F$57)/SUMPRODUCT(('So sánh chi tiết'!$A$2:$A$57=$A9)*('So sánh chi tiết'!$D$2:$D$57&lt;&gt;"")*('So sánh chi tiết'!$F$2:$F$57&lt;&gt;"")),"")</f>
        <v>0.8</v>
      </c>
      <c r="F9" s="6">
        <f>IFERROR(E9-D9,"")</f>
        <v>-1.2</v>
      </c>
      <c r="G9" s="7" t="str">
        <f>IF(OR(C9&lt;3,F9=""),"quá ít mục",IF(F9&gt;0.25,"FRACILE",IF(F9&lt;-0.25,"Vivoire","ngang nhau")))</f>
        <v>Vivoire</v>
      </c>
    </row>
    <row r="10" ht="20" customHeight="1" spans="1:7" x14ac:dyDescent="0.25">
      <c r="A10" s="4" t="s">
        <v>14</v>
      </c>
      <c r="B10" s="5">
        <f>COUNTIF('So sánh chi tiết'!$A$2:$A$57,$A10)</f>
        <v>10</v>
      </c>
      <c r="C10" s="5">
        <f>SUMPRODUCT(('So sánh chi tiết'!$A$2:$A$57=$A10)*('So sánh chi tiết'!$D$2:$D$57&lt;&gt;"")*('So sánh chi tiết'!$F$2:$F$57&lt;&gt;""))</f>
        <v>6</v>
      </c>
      <c r="D10" s="6">
        <f>IFERROR(SUMPRODUCT(('So sánh chi tiết'!$A$2:$A$57=$A10)*('So sánh chi tiết'!$D$2:$D$57&lt;&gt;"")*('So sánh chi tiết'!$F$2:$F$57&lt;&gt;"")*'So sánh chi tiết'!$D$2:$D$57)/SUMPRODUCT(('So sánh chi tiết'!$A$2:$A$57=$A10)*('So sánh chi tiết'!$D$2:$D$57&lt;&gt;"")*('So sánh chi tiết'!$F$2:$F$57&lt;&gt;"")),"")</f>
        <v>2</v>
      </c>
      <c r="E10" s="6">
        <f>IFERROR(SUMPRODUCT(('So sánh chi tiết'!$A$2:$A$57=$A10)*('So sánh chi tiết'!$D$2:$D$57&lt;&gt;"")*('So sánh chi tiết'!$F$2:$F$57&lt;&gt;"")*'So sánh chi tiết'!$F$2:$F$57)/SUMPRODUCT(('So sánh chi tiết'!$A$2:$A$57=$A10)*('So sánh chi tiết'!$D$2:$D$57&lt;&gt;"")*('So sánh chi tiết'!$F$2:$F$57&lt;&gt;"")),"")</f>
        <v>2</v>
      </c>
      <c r="F10" s="6">
        <f>IFERROR(E10-D10,"")</f>
        <v>0</v>
      </c>
      <c r="G10" s="7" t="str">
        <f>IF(OR(C10&lt;3,F10=""),"quá ít mục",IF(F10&gt;0.25,"FRACILE",IF(F10&lt;-0.25,"Vivoire","ngang nhau")))</f>
        <v>ngang nhau</v>
      </c>
    </row>
    <row r="11" ht="20" customHeight="1" spans="1:7" x14ac:dyDescent="0.25">
      <c r="A11" s="4" t="s">
        <v>15</v>
      </c>
      <c r="B11" s="5">
        <f>COUNTIF('So sánh chi tiết'!$A$2:$A$57,$A11)</f>
        <v>13</v>
      </c>
      <c r="C11" s="5">
        <f>SUMPRODUCT(('So sánh chi tiết'!$A$2:$A$57=$A11)*('So sánh chi tiết'!$D$2:$D$57&lt;&gt;"")*('So sánh chi tiết'!$F$2:$F$57&lt;&gt;""))</f>
        <v>5</v>
      </c>
      <c r="D11" s="6">
        <f>IFERROR(SUMPRODUCT(('So sánh chi tiết'!$A$2:$A$57=$A11)*('So sánh chi tiết'!$D$2:$D$57&lt;&gt;"")*('So sánh chi tiết'!$F$2:$F$57&lt;&gt;"")*'So sánh chi tiết'!$D$2:$D$57)/SUMPRODUCT(('So sánh chi tiết'!$A$2:$A$57=$A11)*('So sánh chi tiết'!$D$2:$D$57&lt;&gt;"")*('So sánh chi tiết'!$F$2:$F$57&lt;&gt;"")),"")</f>
        <v>2</v>
      </c>
      <c r="E11" s="6">
        <f>IFERROR(SUMPRODUCT(('So sánh chi tiết'!$A$2:$A$57=$A11)*('So sánh chi tiết'!$D$2:$D$57&lt;&gt;"")*('So sánh chi tiết'!$F$2:$F$57&lt;&gt;"")*'So sánh chi tiết'!$F$2:$F$57)/SUMPRODUCT(('So sánh chi tiết'!$A$2:$A$57=$A11)*('So sánh chi tiết'!$D$2:$D$57&lt;&gt;"")*('So sánh chi tiết'!$F$2:$F$57&lt;&gt;"")),"")</f>
        <v>1.4</v>
      </c>
      <c r="F11" s="6">
        <f>IFERROR(E11-D11,"")</f>
        <v>-0.6000000000000001</v>
      </c>
      <c r="G11" s="7" t="str">
        <f>IF(OR(C11&lt;3,F11=""),"quá ít mục",IF(F11&gt;0.25,"FRACILE",IF(F11&lt;-0.25,"Vivoire","ngang nhau")))</f>
        <v>Vivoire</v>
      </c>
    </row>
    <row r="12" ht="20" customHeight="1" spans="1:7" x14ac:dyDescent="0.25">
      <c r="A12" s="4" t="s">
        <v>16</v>
      </c>
      <c r="B12" s="5">
        <f>COUNTIF('So sánh chi tiết'!$A$2:$A$57,$A12)</f>
        <v>6</v>
      </c>
      <c r="C12" s="5">
        <f>SUMPRODUCT(('So sánh chi tiết'!$A$2:$A$57=$A12)*('So sánh chi tiết'!$D$2:$D$57&lt;&gt;"")*('So sánh chi tiết'!$F$2:$F$57&lt;&gt;""))</f>
        <v>5</v>
      </c>
      <c r="D12" s="6">
        <f>IFERROR(SUMPRODUCT(('So sánh chi tiết'!$A$2:$A$57=$A12)*('So sánh chi tiết'!$D$2:$D$57&lt;&gt;"")*('So sánh chi tiết'!$F$2:$F$57&lt;&gt;"")*'So sánh chi tiết'!$D$2:$D$57)/SUMPRODUCT(('So sánh chi tiết'!$A$2:$A$57=$A12)*('So sánh chi tiết'!$D$2:$D$57&lt;&gt;"")*('So sánh chi tiết'!$F$2:$F$57&lt;&gt;"")),"")</f>
        <v>1.8</v>
      </c>
      <c r="E12" s="6">
        <f>IFERROR(SUMPRODUCT(('So sánh chi tiết'!$A$2:$A$57=$A12)*('So sánh chi tiết'!$D$2:$D$57&lt;&gt;"")*('So sánh chi tiết'!$F$2:$F$57&lt;&gt;"")*'So sánh chi tiết'!$F$2:$F$57)/SUMPRODUCT(('So sánh chi tiết'!$A$2:$A$57=$A12)*('So sánh chi tiết'!$D$2:$D$57&lt;&gt;"")*('So sánh chi tiết'!$F$2:$F$57&lt;&gt;"")),"")</f>
        <v>1.4</v>
      </c>
      <c r="F12" s="6">
        <f>IFERROR(E12-D12,"")</f>
        <v>-0.40000000000000013</v>
      </c>
      <c r="G12" s="7" t="str">
        <f>IF(OR(C12&lt;3,F12=""),"quá ít mục",IF(F12&gt;0.25,"FRACILE",IF(F12&lt;-0.25,"Vivoire","ngang nhau")))</f>
        <v>Vivoire</v>
      </c>
    </row>
    <row r="13" ht="20" customHeight="1" spans="1:7" x14ac:dyDescent="0.25">
      <c r="A13" s="4" t="s">
        <v>17</v>
      </c>
      <c r="B13" s="5">
        <f>COUNTIF('So sánh chi tiết'!$A$2:$A$57,$A13)</f>
        <v>6</v>
      </c>
      <c r="C13" s="5">
        <f>SUMPRODUCT(('So sánh chi tiết'!$A$2:$A$57=$A13)*('So sánh chi tiết'!$D$2:$D$57&lt;&gt;"")*('So sánh chi tiết'!$F$2:$F$57&lt;&gt;""))</f>
        <v>5</v>
      </c>
      <c r="D13" s="6">
        <f>IFERROR(SUMPRODUCT(('So sánh chi tiết'!$A$2:$A$57=$A13)*('So sánh chi tiết'!$D$2:$D$57&lt;&gt;"")*('So sánh chi tiết'!$F$2:$F$57&lt;&gt;"")*'So sánh chi tiết'!$D$2:$D$57)/SUMPRODUCT(('So sánh chi tiết'!$A$2:$A$57=$A13)*('So sánh chi tiết'!$D$2:$D$57&lt;&gt;"")*('So sánh chi tiết'!$F$2:$F$57&lt;&gt;"")),"")</f>
        <v>1.8</v>
      </c>
      <c r="E13" s="6">
        <f>IFERROR(SUMPRODUCT(('So sánh chi tiết'!$A$2:$A$57=$A13)*('So sánh chi tiết'!$D$2:$D$57&lt;&gt;"")*('So sánh chi tiết'!$F$2:$F$57&lt;&gt;"")*'So sánh chi tiết'!$F$2:$F$57)/SUMPRODUCT(('So sánh chi tiết'!$A$2:$A$57=$A13)*('So sánh chi tiết'!$D$2:$D$57&lt;&gt;"")*('So sánh chi tiết'!$F$2:$F$57&lt;&gt;"")),"")</f>
        <v>1.4</v>
      </c>
      <c r="F13" s="6">
        <f>IFERROR(E13-D13,"")</f>
        <v>-0.40000000000000013</v>
      </c>
      <c r="G13" s="7" t="str">
        <f>IF(OR(C13&lt;3,F13=""),"quá ít mục",IF(F13&gt;0.25,"FRACILE",IF(F13&lt;-0.25,"Vivoire","ngang nhau")))</f>
        <v>Vivoire</v>
      </c>
    </row>
    <row r="14" spans="1:7" x14ac:dyDescent="0.25">
      <c r="A14" s="8" t="s">
        <v>18</v>
      </c>
      <c r="B14" s="9">
        <f>SUM(B7:B13)</f>
        <v>56</v>
      </c>
      <c r="C14" s="9">
        <f>SUM(C7:C13)</f>
        <v>33</v>
      </c>
      <c r="D14" s="10">
        <f>IFERROR(SUMPRODUCT(('So sánh chi tiết'!$D$2:$D$57&lt;&gt;"")*('So sánh chi tiết'!$F$2:$F$57&lt;&gt;"")*'So sánh chi tiết'!$D$2:$D$57)/SUMPRODUCT(('So sánh chi tiết'!$D$2:$D$57&lt;&gt;"")*('So sánh chi tiết'!$F$2:$F$57&lt;&gt;"")),"")</f>
        <v>1.878787878787879</v>
      </c>
      <c r="E14" s="10">
        <f>IFERROR(SUMPRODUCT(('So sánh chi tiết'!$D$2:$D$57&lt;&gt;"")*('So sánh chi tiết'!$F$2:$F$57&lt;&gt;"")*'So sánh chi tiết'!$F$2:$F$57)/SUMPRODUCT(('So sánh chi tiết'!$D$2:$D$57&lt;&gt;"")*('So sánh chi tiết'!$F$2:$F$57&lt;&gt;"")),"")</f>
        <v>1.393939393939394</v>
      </c>
      <c r="F14" s="10">
        <f>E14-D14</f>
        <v>-0.48484848484848486</v>
      </c>
      <c r="G14" s="10" t="str">
        <f>IF(F14&gt;0.25,"FRACILE",IF(F14&lt;-0.25,"Vivoire","ngang nhau"))</f>
        <v>Vivoire</v>
      </c>
    </row>
    <row r="16" spans="1:1" x14ac:dyDescent="0.25">
      <c r="A16" s="11" t="s">
        <v>19</v>
      </c>
    </row>
    <row r="17" ht="46" customHeight="1" spans="1:7" x14ac:dyDescent="0.25">
      <c r="A17" s="12" t="s">
        <v>20</v>
      </c>
      <c r="B17" s="12"/>
      <c r="C17" s="12"/>
      <c r="D17" s="12"/>
      <c r="E17" s="12"/>
      <c r="F17" s="12"/>
      <c r="G17" s="12"/>
    </row>
    <row r="18" spans="1:7" x14ac:dyDescent="0.25">
      <c r="A18" s="12"/>
      <c r="B18" s="12"/>
      <c r="C18" s="12"/>
      <c r="D18" s="12"/>
      <c r="E18" s="12"/>
      <c r="F18" s="12"/>
      <c r="G18" s="12"/>
    </row>
    <row r="19" spans="1:7" x14ac:dyDescent="0.25">
      <c r="A19" s="12"/>
      <c r="B19" s="12"/>
      <c r="C19" s="12"/>
      <c r="D19" s="12"/>
      <c r="E19" s="12"/>
      <c r="F19" s="12"/>
      <c r="G19" s="12"/>
    </row>
    <row r="20" spans="1:1" x14ac:dyDescent="0.25">
      <c r="A20" s="13" t="s">
        <v>21</v>
      </c>
    </row>
    <row r="21" spans="1:2" x14ac:dyDescent="0.25">
      <c r="A21" s="14" t="s">
        <v>22</v>
      </c>
      <c r="B21" s="15" t="s">
        <v>23</v>
      </c>
    </row>
    <row r="22" spans="1:2" x14ac:dyDescent="0.25">
      <c r="A22" s="14" t="s">
        <v>24</v>
      </c>
      <c r="B22" s="15" t="s">
        <v>25</v>
      </c>
    </row>
    <row r="23" spans="1:2" x14ac:dyDescent="0.25">
      <c r="A23" s="14" t="s">
        <v>26</v>
      </c>
      <c r="B23" s="15" t="s">
        <v>27</v>
      </c>
    </row>
    <row r="24" spans="1:2" x14ac:dyDescent="0.25">
      <c r="A24" s="14" t="s">
        <v>28</v>
      </c>
      <c r="B24" s="15" t="s">
        <v>29</v>
      </c>
    </row>
    <row r="27" spans="1:1" x14ac:dyDescent="0.25">
      <c r="A27" s="16" t="s">
        <v>30</v>
      </c>
    </row>
    <row r="28" ht="28" customHeight="1" spans="1:7" x14ac:dyDescent="0.25">
      <c r="A28" s="17" t="s">
        <v>31</v>
      </c>
      <c r="B28" s="18" t="s">
        <v>32</v>
      </c>
      <c r="C28" s="18"/>
      <c r="D28" s="18"/>
      <c r="E28" s="18"/>
      <c r="F28" s="18"/>
      <c r="G28" s="18"/>
    </row>
    <row r="29" ht="28" customHeight="1" spans="1:7" x14ac:dyDescent="0.25">
      <c r="A29" s="17" t="s">
        <v>33</v>
      </c>
      <c r="B29" s="18" t="s">
        <v>34</v>
      </c>
      <c r="C29" s="18"/>
      <c r="D29" s="18"/>
      <c r="E29" s="18"/>
      <c r="F29" s="18"/>
      <c r="G29" s="18"/>
    </row>
    <row r="30" ht="28" customHeight="1" spans="1:7" x14ac:dyDescent="0.25">
      <c r="A30" s="17" t="s">
        <v>35</v>
      </c>
      <c r="B30" s="18" t="s">
        <v>36</v>
      </c>
      <c r="C30" s="18"/>
      <c r="D30" s="18"/>
      <c r="E30" s="18"/>
      <c r="F30" s="18"/>
      <c r="G30" s="18"/>
    </row>
    <row r="31" ht="28" customHeight="1" spans="1:7" x14ac:dyDescent="0.25">
      <c r="A31" s="17" t="s">
        <v>37</v>
      </c>
      <c r="B31" s="18" t="s">
        <v>38</v>
      </c>
      <c r="C31" s="18"/>
      <c r="D31" s="18"/>
      <c r="E31" s="18"/>
      <c r="F31" s="18"/>
      <c r="G31" s="18"/>
    </row>
    <row r="32" ht="28" customHeight="1" spans="1:7" x14ac:dyDescent="0.25">
      <c r="A32" s="17" t="s">
        <v>39</v>
      </c>
      <c r="B32" s="18" t="s">
        <v>40</v>
      </c>
      <c r="C32" s="18"/>
      <c r="D32" s="18"/>
      <c r="E32" s="18"/>
      <c r="F32" s="18"/>
      <c r="G32" s="18"/>
    </row>
    <row r="33" ht="28" customHeight="1" spans="1:7" x14ac:dyDescent="0.25">
      <c r="A33" s="17" t="s">
        <v>41</v>
      </c>
      <c r="B33" s="18" t="s">
        <v>42</v>
      </c>
      <c r="C33" s="18"/>
      <c r="D33" s="18"/>
      <c r="E33" s="18"/>
      <c r="F33" s="18"/>
      <c r="G33" s="18"/>
    </row>
    <row r="34" ht="28" customHeight="1" spans="1:7" x14ac:dyDescent="0.25">
      <c r="A34" s="17" t="s">
        <v>43</v>
      </c>
      <c r="B34" s="18" t="s">
        <v>44</v>
      </c>
      <c r="C34" s="18"/>
      <c r="D34" s="18"/>
      <c r="E34" s="18"/>
      <c r="F34" s="18"/>
      <c r="G34" s="18"/>
    </row>
    <row r="35" ht="28" customHeight="1" spans="1:7" x14ac:dyDescent="0.25">
      <c r="A35" s="17" t="s">
        <v>45</v>
      </c>
      <c r="B35" s="18" t="s">
        <v>46</v>
      </c>
      <c r="C35" s="18"/>
      <c r="D35" s="18"/>
      <c r="E35" s="18"/>
      <c r="F35" s="18"/>
      <c r="G35" s="18"/>
    </row>
    <row r="36" ht="28" customHeight="1" spans="1:7" x14ac:dyDescent="0.25">
      <c r="A36" s="17" t="s">
        <v>47</v>
      </c>
      <c r="B36" s="18" t="s">
        <v>48</v>
      </c>
      <c r="C36" s="18"/>
      <c r="D36" s="18"/>
      <c r="E36" s="18"/>
      <c r="F36" s="18"/>
      <c r="G36" s="18"/>
    </row>
    <row r="37" ht="28" customHeight="1" spans="1:7" x14ac:dyDescent="0.25">
      <c r="A37" s="17" t="s">
        <v>49</v>
      </c>
      <c r="B37" s="18" t="s">
        <v>50</v>
      </c>
      <c r="C37" s="18"/>
      <c r="D37" s="18"/>
      <c r="E37" s="18"/>
      <c r="F37" s="18"/>
      <c r="G37" s="18"/>
    </row>
    <row r="38" ht="28" customHeight="1" spans="1:7" x14ac:dyDescent="0.25">
      <c r="A38" s="17" t="s">
        <v>51</v>
      </c>
      <c r="B38" s="18" t="s">
        <v>52</v>
      </c>
      <c r="C38" s="18"/>
      <c r="D38" s="18"/>
      <c r="E38" s="18"/>
      <c r="F38" s="18"/>
      <c r="G38" s="18"/>
    </row>
    <row r="39" ht="28" customHeight="1" spans="1:7" x14ac:dyDescent="0.25">
      <c r="A39" s="17" t="s">
        <v>53</v>
      </c>
      <c r="B39" s="18" t="s">
        <v>54</v>
      </c>
      <c r="C39" s="18"/>
      <c r="D39" s="18"/>
      <c r="E39" s="18"/>
      <c r="F39" s="18"/>
      <c r="G39" s="18"/>
    </row>
    <row r="40" ht="28" customHeight="1" spans="1:7" x14ac:dyDescent="0.25">
      <c r="A40" s="17" t="s">
        <v>55</v>
      </c>
      <c r="B40" s="18" t="s">
        <v>56</v>
      </c>
      <c r="C40" s="18"/>
      <c r="D40" s="18"/>
      <c r="E40" s="18"/>
      <c r="F40" s="18"/>
      <c r="G40" s="18"/>
    </row>
    <row r="41" ht="28" customHeight="1" spans="1:7" x14ac:dyDescent="0.25">
      <c r="A41" s="17" t="s">
        <v>57</v>
      </c>
      <c r="B41" s="18" t="s">
        <v>58</v>
      </c>
      <c r="C41" s="18"/>
      <c r="D41" s="18"/>
      <c r="E41" s="18"/>
      <c r="F41" s="18"/>
      <c r="G41" s="18"/>
    </row>
    <row r="42" ht="28" customHeight="1" spans="1:7" x14ac:dyDescent="0.25">
      <c r="A42" s="17" t="s">
        <v>59</v>
      </c>
      <c r="B42" s="18" t="s">
        <v>60</v>
      </c>
      <c r="C42" s="18"/>
      <c r="D42" s="18"/>
      <c r="E42" s="18"/>
      <c r="F42" s="18"/>
      <c r="G42" s="18"/>
    </row>
    <row r="43" ht="28" customHeight="1" spans="1:7" x14ac:dyDescent="0.25">
      <c r="A43" s="17" t="s">
        <v>61</v>
      </c>
      <c r="B43" s="18" t="s">
        <v>62</v>
      </c>
      <c r="C43" s="18"/>
      <c r="D43" s="18"/>
      <c r="E43" s="18"/>
      <c r="F43" s="18"/>
      <c r="G43" s="18"/>
    </row>
    <row r="44" ht="28" customHeight="1" spans="1:7" x14ac:dyDescent="0.25">
      <c r="A44" s="17" t="s">
        <v>63</v>
      </c>
      <c r="B44" s="18" t="s">
        <v>64</v>
      </c>
      <c r="C44" s="18"/>
      <c r="D44" s="18"/>
      <c r="E44" s="18"/>
      <c r="F44" s="18"/>
      <c r="G44" s="18"/>
    </row>
    <row r="45" ht="28" customHeight="1" spans="1:7" x14ac:dyDescent="0.25">
      <c r="A45" s="17" t="s">
        <v>65</v>
      </c>
      <c r="B45" s="18" t="s">
        <v>66</v>
      </c>
      <c r="C45" s="18"/>
      <c r="D45" s="18"/>
      <c r="E45" s="18"/>
      <c r="F45" s="18"/>
      <c r="G45" s="18"/>
    </row>
    <row r="46" ht="28" customHeight="1" spans="1:7" x14ac:dyDescent="0.25">
      <c r="A46" s="17" t="s">
        <v>67</v>
      </c>
      <c r="B46" s="18" t="s">
        <v>68</v>
      </c>
      <c r="C46" s="18"/>
      <c r="D46" s="18"/>
      <c r="E46" s="18"/>
      <c r="F46" s="18"/>
      <c r="G46" s="18"/>
    </row>
  </sheetData>
  <mergeCells count="20">
    <mergeCell ref="A17:G19"/>
    <mergeCell ref="B28:G28"/>
    <mergeCell ref="B29:G29"/>
    <mergeCell ref="B30:G30"/>
    <mergeCell ref="B31:G31"/>
    <mergeCell ref="B32:G32"/>
    <mergeCell ref="B33:G33"/>
    <mergeCell ref="B34:G34"/>
    <mergeCell ref="B35:G35"/>
    <mergeCell ref="B36:G36"/>
    <mergeCell ref="B37:G37"/>
    <mergeCell ref="B38:G38"/>
    <mergeCell ref="B39:G39"/>
    <mergeCell ref="B40:G40"/>
    <mergeCell ref="B41:G41"/>
    <mergeCell ref="B42:G42"/>
    <mergeCell ref="B43:G43"/>
    <mergeCell ref="B44:G44"/>
    <mergeCell ref="B45:G45"/>
    <mergeCell ref="B46:G46"/>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57"/>
  <sheetViews>
    <sheetView workbookViewId="0">
      <pane xSplit="2" ySplit="1" topLeftCell="C2" activePane="bottomRight" state="frozen"/>
      <selection pane="bottomRight"/>
    </sheetView>
  </sheetViews>
  <sheetFormatPr defaultRowHeight="15" outlineLevelRow="0" outlineLevelCol="0" x14ac:dyDescent="55"/>
  <cols>
    <col min="1" max="1" width="20" customWidth="1"/>
    <col min="2" max="2" width="34" customWidth="1"/>
    <col min="3" max="3" width="38" customWidth="1"/>
    <col min="4" max="4" width="8" customWidth="1"/>
    <col min="5" max="5" width="44" customWidth="1"/>
    <col min="6" max="6" width="8" customWidth="1"/>
    <col min="7" max="7" width="11" customWidth="1"/>
    <col min="8" max="8" width="24" customWidth="1"/>
    <col min="9" max="9" width="46" customWidth="1"/>
  </cols>
  <sheetData>
    <row r="1" ht="34" customHeight="1" spans="1:9" x14ac:dyDescent="0.25">
      <c r="A1" s="3" t="s">
        <v>4</v>
      </c>
      <c r="B1" s="3" t="s">
        <v>69</v>
      </c>
      <c r="C1" s="3" t="s">
        <v>70</v>
      </c>
      <c r="D1" s="3" t="s">
        <v>71</v>
      </c>
      <c r="E1" s="3" t="s">
        <v>72</v>
      </c>
      <c r="F1" s="3" t="s">
        <v>73</v>
      </c>
      <c r="G1" s="3" t="s">
        <v>74</v>
      </c>
      <c r="H1" s="3" t="s">
        <v>75</v>
      </c>
      <c r="I1" s="3" t="s">
        <v>76</v>
      </c>
    </row>
    <row r="2" ht="44" customHeight="1" spans="1:9" x14ac:dyDescent="0.25">
      <c r="A2" s="19" t="s">
        <v>11</v>
      </c>
      <c r="B2" s="20" t="s">
        <v>77</v>
      </c>
      <c r="C2" s="21" t="s">
        <v>78</v>
      </c>
      <c r="D2" s="22">
        <v>2</v>
      </c>
      <c r="E2" s="21" t="s">
        <v>79</v>
      </c>
      <c r="F2" s="22">
        <v>2</v>
      </c>
      <c r="G2" s="23" t="str">
        <f>IF(OR(D2="",F2=""),"chưa rõ",IF(F2&gt;D2,"FRACILE",IF(D2&gt;F2,"Vivoire","hoà")))</f>
        <v>hoà</v>
      </c>
      <c r="H2" s="19" t="s">
        <v>80</v>
      </c>
      <c r="I2" s="24" t="s">
        <v>81</v>
      </c>
    </row>
    <row r="3" ht="44" customHeight="1" spans="1:9" x14ac:dyDescent="0.25">
      <c r="A3" s="25" t="s">
        <v>11</v>
      </c>
      <c r="B3" s="26" t="s">
        <v>82</v>
      </c>
      <c r="C3" s="27" t="s">
        <v>83</v>
      </c>
      <c r="D3" s="28"/>
      <c r="E3" s="27" t="s">
        <v>84</v>
      </c>
      <c r="F3" s="28">
        <v>2</v>
      </c>
      <c r="G3" s="29" t="str">
        <f>IF(OR(D3="",F3=""),"chưa rõ",IF(F3&gt;D3,"FRACILE",IF(D3&gt;F3,"Vivoire","hoà")))</f>
        <v>chưa rõ</v>
      </c>
      <c r="H3" s="25" t="s">
        <v>80</v>
      </c>
      <c r="I3" s="30" t="s">
        <v>85</v>
      </c>
    </row>
    <row r="4" ht="44" customHeight="1" spans="1:9" x14ac:dyDescent="0.25">
      <c r="A4" s="19" t="s">
        <v>11</v>
      </c>
      <c r="B4" s="20" t="s">
        <v>86</v>
      </c>
      <c r="C4" s="21" t="s">
        <v>87</v>
      </c>
      <c r="D4" s="22">
        <v>2</v>
      </c>
      <c r="E4" s="21" t="s">
        <v>88</v>
      </c>
      <c r="F4" s="22">
        <v>2</v>
      </c>
      <c r="G4" s="23" t="str">
        <f>IF(OR(D4="",F4=""),"chưa rõ",IF(F4&gt;D4,"FRACILE",IF(D4&gt;F4,"Vivoire","hoà")))</f>
        <v>hoà</v>
      </c>
      <c r="H4" s="19" t="s">
        <v>80</v>
      </c>
      <c r="I4" s="24" t="s">
        <v>89</v>
      </c>
    </row>
    <row r="5" ht="44" customHeight="1" spans="1:9" x14ac:dyDescent="0.25">
      <c r="A5" s="19" t="s">
        <v>11</v>
      </c>
      <c r="B5" s="20" t="s">
        <v>90</v>
      </c>
      <c r="C5" s="21" t="s">
        <v>91</v>
      </c>
      <c r="D5" s="22">
        <v>2</v>
      </c>
      <c r="E5" s="21" t="s">
        <v>92</v>
      </c>
      <c r="F5" s="22">
        <v>1</v>
      </c>
      <c r="G5" s="23" t="str">
        <f>IF(OR(D5="",F5=""),"chưa rõ",IF(F5&gt;D5,"FRACILE",IF(D5&gt;F5,"Vivoire","hoà")))</f>
        <v>Vivoire</v>
      </c>
      <c r="H5" s="19" t="s">
        <v>80</v>
      </c>
      <c r="I5" s="24" t="s">
        <v>93</v>
      </c>
    </row>
    <row r="6" ht="44" customHeight="1" spans="1:9" x14ac:dyDescent="0.25">
      <c r="A6" s="19" t="s">
        <v>11</v>
      </c>
      <c r="B6" s="20" t="s">
        <v>94</v>
      </c>
      <c r="C6" s="21" t="s">
        <v>95</v>
      </c>
      <c r="D6" s="22">
        <v>2</v>
      </c>
      <c r="E6" s="21" t="s">
        <v>96</v>
      </c>
      <c r="F6" s="22">
        <v>1</v>
      </c>
      <c r="G6" s="23" t="str">
        <f>IF(OR(D6="",F6=""),"chưa rõ",IF(F6&gt;D6,"FRACILE",IF(D6&gt;F6,"Vivoire","hoà")))</f>
        <v>Vivoire</v>
      </c>
      <c r="H6" s="19" t="s">
        <v>97</v>
      </c>
      <c r="I6" s="24" t="s">
        <v>98</v>
      </c>
    </row>
    <row r="7" ht="44" customHeight="1" spans="1:9" x14ac:dyDescent="0.25">
      <c r="A7" s="31" t="s">
        <v>11</v>
      </c>
      <c r="B7" s="32" t="s">
        <v>99</v>
      </c>
      <c r="C7" s="33" t="s">
        <v>100</v>
      </c>
      <c r="D7" s="34">
        <v>2</v>
      </c>
      <c r="E7" s="33" t="s">
        <v>101</v>
      </c>
      <c r="F7" s="34">
        <v>0</v>
      </c>
      <c r="G7" s="35" t="str">
        <f>IF(OR(D7="",F7=""),"chưa rõ",IF(F7&gt;D7,"FRACILE",IF(D7&gt;F7,"Vivoire","hoà")))</f>
        <v>Vivoire</v>
      </c>
      <c r="H7" s="31" t="s">
        <v>102</v>
      </c>
      <c r="I7" s="36" t="s">
        <v>103</v>
      </c>
    </row>
    <row r="8" ht="44" customHeight="1" spans="1:9" x14ac:dyDescent="0.25">
      <c r="A8" s="25" t="s">
        <v>11</v>
      </c>
      <c r="B8" s="26" t="s">
        <v>104</v>
      </c>
      <c r="C8" s="27" t="s">
        <v>105</v>
      </c>
      <c r="D8" s="28"/>
      <c r="E8" s="27" t="s">
        <v>106</v>
      </c>
      <c r="F8" s="28">
        <v>2</v>
      </c>
      <c r="G8" s="29" t="str">
        <f>IF(OR(D8="",F8=""),"chưa rõ",IF(F8&gt;D8,"FRACILE",IF(D8&gt;F8,"Vivoire","hoà")))</f>
        <v>chưa rõ</v>
      </c>
      <c r="H8" s="25" t="s">
        <v>80</v>
      </c>
      <c r="I8" s="30" t="s">
        <v>107</v>
      </c>
    </row>
    <row r="9" ht="44" customHeight="1" spans="1:9" x14ac:dyDescent="0.25">
      <c r="A9" s="25" t="s">
        <v>11</v>
      </c>
      <c r="B9" s="26" t="s">
        <v>108</v>
      </c>
      <c r="C9" s="27" t="s">
        <v>23</v>
      </c>
      <c r="D9" s="28">
        <v>0</v>
      </c>
      <c r="E9" s="27" t="s">
        <v>109</v>
      </c>
      <c r="F9" s="28">
        <v>2</v>
      </c>
      <c r="G9" s="29" t="str">
        <f>IF(OR(D9="",F9=""),"chưa rõ",IF(F9&gt;D9,"FRACILE",IF(D9&gt;F9,"Vivoire","hoà")))</f>
        <v>FRACILE</v>
      </c>
      <c r="H9" s="25" t="s">
        <v>110</v>
      </c>
      <c r="I9" s="30" t="s">
        <v>111</v>
      </c>
    </row>
    <row r="10" ht="44" customHeight="1" spans="1:9" x14ac:dyDescent="0.25">
      <c r="A10" s="19" t="s">
        <v>12</v>
      </c>
      <c r="B10" s="20" t="s">
        <v>112</v>
      </c>
      <c r="C10" s="21" t="s">
        <v>113</v>
      </c>
      <c r="D10" s="22">
        <v>2</v>
      </c>
      <c r="E10" s="21" t="s">
        <v>114</v>
      </c>
      <c r="F10" s="22">
        <v>1</v>
      </c>
      <c r="G10" s="23" t="str">
        <f>IF(OR(D10="",F10=""),"chưa rõ",IF(F10&gt;D10,"FRACILE",IF(D10&gt;F10,"Vivoire","hoà")))</f>
        <v>Vivoire</v>
      </c>
      <c r="H10" s="19" t="s">
        <v>80</v>
      </c>
      <c r="I10" s="24" t="s">
        <v>115</v>
      </c>
    </row>
    <row r="11" ht="44" customHeight="1" spans="1:9" x14ac:dyDescent="0.25">
      <c r="A11" s="25" t="s">
        <v>12</v>
      </c>
      <c r="B11" s="26" t="s">
        <v>116</v>
      </c>
      <c r="C11" s="27" t="s">
        <v>117</v>
      </c>
      <c r="D11" s="28"/>
      <c r="E11" s="27" t="s">
        <v>118</v>
      </c>
      <c r="F11" s="28">
        <v>2</v>
      </c>
      <c r="G11" s="29" t="str">
        <f>IF(OR(D11="",F11=""),"chưa rõ",IF(F11&gt;D11,"FRACILE",IF(D11&gt;F11,"Vivoire","hoà")))</f>
        <v>chưa rõ</v>
      </c>
      <c r="H11" s="25" t="s">
        <v>80</v>
      </c>
      <c r="I11" s="30" t="s">
        <v>119</v>
      </c>
    </row>
    <row r="12" ht="44" customHeight="1" spans="1:9" x14ac:dyDescent="0.25">
      <c r="A12" s="25" t="s">
        <v>12</v>
      </c>
      <c r="B12" s="26" t="s">
        <v>120</v>
      </c>
      <c r="C12" s="27" t="s">
        <v>117</v>
      </c>
      <c r="D12" s="28"/>
      <c r="E12" s="27" t="s">
        <v>121</v>
      </c>
      <c r="F12" s="28">
        <v>2</v>
      </c>
      <c r="G12" s="29" t="str">
        <f>IF(OR(D12="",F12=""),"chưa rõ",IF(F12&gt;D12,"FRACILE",IF(D12&gt;F12,"Vivoire","hoà")))</f>
        <v>chưa rõ</v>
      </c>
      <c r="H12" s="25" t="s">
        <v>80</v>
      </c>
      <c r="I12" s="30" t="s">
        <v>122</v>
      </c>
    </row>
    <row r="13" ht="44" customHeight="1" spans="1:9" x14ac:dyDescent="0.25">
      <c r="A13" s="25" t="s">
        <v>12</v>
      </c>
      <c r="B13" s="26" t="s">
        <v>123</v>
      </c>
      <c r="C13" s="27" t="s">
        <v>117</v>
      </c>
      <c r="D13" s="28"/>
      <c r="E13" s="27" t="s">
        <v>124</v>
      </c>
      <c r="F13" s="28">
        <v>2</v>
      </c>
      <c r="G13" s="29" t="str">
        <f>IF(OR(D13="",F13=""),"chưa rõ",IF(F13&gt;D13,"FRACILE",IF(D13&gt;F13,"Vivoire","hoà")))</f>
        <v>chưa rõ</v>
      </c>
      <c r="H13" s="25" t="s">
        <v>80</v>
      </c>
      <c r="I13" s="30" t="s">
        <v>125</v>
      </c>
    </row>
    <row r="14" ht="44" customHeight="1" spans="1:9" x14ac:dyDescent="0.25">
      <c r="A14" s="25" t="s">
        <v>12</v>
      </c>
      <c r="B14" s="26" t="s">
        <v>126</v>
      </c>
      <c r="C14" s="27" t="s">
        <v>117</v>
      </c>
      <c r="D14" s="28"/>
      <c r="E14" s="27" t="s">
        <v>127</v>
      </c>
      <c r="F14" s="28">
        <v>2</v>
      </c>
      <c r="G14" s="29" t="str">
        <f>IF(OR(D14="",F14=""),"chưa rõ",IF(F14&gt;D14,"FRACILE",IF(D14&gt;F14,"Vivoire","hoà")))</f>
        <v>chưa rõ</v>
      </c>
      <c r="H14" s="25" t="s">
        <v>80</v>
      </c>
      <c r="I14" s="30" t="s">
        <v>128</v>
      </c>
    </row>
    <row r="15" ht="44" customHeight="1" spans="1:9" x14ac:dyDescent="0.25">
      <c r="A15" s="25" t="s">
        <v>12</v>
      </c>
      <c r="B15" s="26" t="s">
        <v>129</v>
      </c>
      <c r="C15" s="27" t="s">
        <v>117</v>
      </c>
      <c r="D15" s="28"/>
      <c r="E15" s="27" t="s">
        <v>130</v>
      </c>
      <c r="F15" s="28">
        <v>2</v>
      </c>
      <c r="G15" s="29" t="str">
        <f>IF(OR(D15="",F15=""),"chưa rõ",IF(F15&gt;D15,"FRACILE",IF(D15&gt;F15,"Vivoire","hoà")))</f>
        <v>chưa rõ</v>
      </c>
      <c r="H15" s="25" t="s">
        <v>80</v>
      </c>
      <c r="I15" s="30" t="s">
        <v>131</v>
      </c>
    </row>
    <row r="16" ht="44" customHeight="1" spans="1:9" x14ac:dyDescent="0.25">
      <c r="A16" s="19" t="s">
        <v>13</v>
      </c>
      <c r="B16" s="20" t="s">
        <v>132</v>
      </c>
      <c r="C16" s="21" t="s">
        <v>133</v>
      </c>
      <c r="D16" s="22">
        <v>2</v>
      </c>
      <c r="E16" s="21" t="s">
        <v>134</v>
      </c>
      <c r="F16" s="22">
        <v>1</v>
      </c>
      <c r="G16" s="23" t="str">
        <f>IF(OR(D16="",F16=""),"chưa rõ",IF(F16&gt;D16,"FRACILE",IF(D16&gt;F16,"Vivoire","hoà")))</f>
        <v>Vivoire</v>
      </c>
      <c r="H16" s="19" t="s">
        <v>135</v>
      </c>
      <c r="I16" s="24" t="s">
        <v>136</v>
      </c>
    </row>
    <row r="17" ht="44" customHeight="1" spans="1:9" x14ac:dyDescent="0.25">
      <c r="A17" s="19" t="s">
        <v>13</v>
      </c>
      <c r="B17" s="20" t="s">
        <v>137</v>
      </c>
      <c r="C17" s="21" t="s">
        <v>138</v>
      </c>
      <c r="D17" s="22">
        <v>2</v>
      </c>
      <c r="E17" s="21" t="s">
        <v>139</v>
      </c>
      <c r="F17" s="22">
        <v>1</v>
      </c>
      <c r="G17" s="23" t="str">
        <f>IF(OR(D17="",F17=""),"chưa rõ",IF(F17&gt;D17,"FRACILE",IF(D17&gt;F17,"Vivoire","hoà")))</f>
        <v>Vivoire</v>
      </c>
      <c r="H17" s="19" t="s">
        <v>140</v>
      </c>
      <c r="I17" s="24" t="s">
        <v>141</v>
      </c>
    </row>
    <row r="18" ht="44" customHeight="1" spans="1:9" x14ac:dyDescent="0.25">
      <c r="A18" s="25" t="s">
        <v>13</v>
      </c>
      <c r="B18" s="26" t="s">
        <v>142</v>
      </c>
      <c r="C18" s="27" t="s">
        <v>143</v>
      </c>
      <c r="D18" s="28"/>
      <c r="E18" s="27" t="s">
        <v>144</v>
      </c>
      <c r="F18" s="28">
        <v>2</v>
      </c>
      <c r="G18" s="29" t="str">
        <f>IF(OR(D18="",F18=""),"chưa rõ",IF(F18&gt;D18,"FRACILE",IF(D18&gt;F18,"Vivoire","hoà")))</f>
        <v>chưa rõ</v>
      </c>
      <c r="H18" s="25" t="s">
        <v>80</v>
      </c>
      <c r="I18" s="30" t="s">
        <v>145</v>
      </c>
    </row>
    <row r="19" ht="44" customHeight="1" spans="1:9" x14ac:dyDescent="0.25">
      <c r="A19" s="19" t="s">
        <v>13</v>
      </c>
      <c r="B19" s="20" t="s">
        <v>146</v>
      </c>
      <c r="C19" s="21" t="s">
        <v>147</v>
      </c>
      <c r="D19" s="22">
        <v>2</v>
      </c>
      <c r="E19" s="21" t="s">
        <v>148</v>
      </c>
      <c r="F19" s="22">
        <v>1</v>
      </c>
      <c r="G19" s="23" t="str">
        <f>IF(OR(D19="",F19=""),"chưa rõ",IF(F19&gt;D19,"FRACILE",IF(D19&gt;F19,"Vivoire","hoà")))</f>
        <v>Vivoire</v>
      </c>
      <c r="H19" s="19" t="s">
        <v>80</v>
      </c>
      <c r="I19" s="24" t="s">
        <v>149</v>
      </c>
    </row>
    <row r="20" ht="44" customHeight="1" spans="1:9" x14ac:dyDescent="0.25">
      <c r="A20" s="31" t="s">
        <v>13</v>
      </c>
      <c r="B20" s="32" t="s">
        <v>150</v>
      </c>
      <c r="C20" s="33" t="s">
        <v>124</v>
      </c>
      <c r="D20" s="34">
        <v>2</v>
      </c>
      <c r="E20" s="33" t="s">
        <v>151</v>
      </c>
      <c r="F20" s="34">
        <v>0</v>
      </c>
      <c r="G20" s="35" t="str">
        <f>IF(OR(D20="",F20=""),"chưa rõ",IF(F20&gt;D20,"FRACILE",IF(D20&gt;F20,"Vivoire","hoà")))</f>
        <v>Vivoire</v>
      </c>
      <c r="H20" s="31" t="s">
        <v>152</v>
      </c>
      <c r="I20" s="36" t="s">
        <v>153</v>
      </c>
    </row>
    <row r="21" ht="44" customHeight="1" spans="1:9" x14ac:dyDescent="0.25">
      <c r="A21" s="19" t="s">
        <v>13</v>
      </c>
      <c r="B21" s="20" t="s">
        <v>154</v>
      </c>
      <c r="C21" s="21" t="s">
        <v>155</v>
      </c>
      <c r="D21" s="22">
        <v>2</v>
      </c>
      <c r="E21" s="21" t="s">
        <v>156</v>
      </c>
      <c r="F21" s="22">
        <v>1</v>
      </c>
      <c r="G21" s="23" t="str">
        <f>IF(OR(D21="",F21=""),"chưa rõ",IF(F21&gt;D21,"FRACILE",IF(D21&gt;F21,"Vivoire","hoà")))</f>
        <v>Vivoire</v>
      </c>
      <c r="H21" s="19" t="s">
        <v>80</v>
      </c>
      <c r="I21" s="24" t="s">
        <v>157</v>
      </c>
    </row>
    <row r="22" ht="44" customHeight="1" spans="1:9" x14ac:dyDescent="0.25">
      <c r="A22" s="25" t="s">
        <v>13</v>
      </c>
      <c r="B22" s="26" t="s">
        <v>158</v>
      </c>
      <c r="C22" s="27" t="s">
        <v>117</v>
      </c>
      <c r="D22" s="28"/>
      <c r="E22" s="27" t="s">
        <v>159</v>
      </c>
      <c r="F22" s="28">
        <v>2</v>
      </c>
      <c r="G22" s="29" t="str">
        <f>IF(OR(D22="",F22=""),"chưa rõ",IF(F22&gt;D22,"FRACILE",IF(D22&gt;F22,"Vivoire","hoà")))</f>
        <v>chưa rõ</v>
      </c>
      <c r="H22" s="25" t="s">
        <v>80</v>
      </c>
      <c r="I22" s="30" t="s">
        <v>160</v>
      </c>
    </row>
    <row r="23" ht="44" customHeight="1" spans="1:9" x14ac:dyDescent="0.25">
      <c r="A23" s="19" t="s">
        <v>14</v>
      </c>
      <c r="B23" s="20" t="s">
        <v>161</v>
      </c>
      <c r="C23" s="21" t="s">
        <v>162</v>
      </c>
      <c r="D23" s="22">
        <v>2</v>
      </c>
      <c r="E23" s="21" t="s">
        <v>163</v>
      </c>
      <c r="F23" s="22">
        <v>2</v>
      </c>
      <c r="G23" s="23" t="str">
        <f>IF(OR(D23="",F23=""),"chưa rõ",IF(F23&gt;D23,"FRACILE",IF(D23&gt;F23,"Vivoire","hoà")))</f>
        <v>hoà</v>
      </c>
      <c r="H23" s="19" t="s">
        <v>164</v>
      </c>
      <c r="I23" s="24" t="s">
        <v>165</v>
      </c>
    </row>
    <row r="24" ht="44" customHeight="1" spans="1:9" x14ac:dyDescent="0.25">
      <c r="A24" s="25" t="s">
        <v>14</v>
      </c>
      <c r="B24" s="26" t="s">
        <v>166</v>
      </c>
      <c r="C24" s="27" t="s">
        <v>167</v>
      </c>
      <c r="D24" s="28"/>
      <c r="E24" s="27" t="s">
        <v>168</v>
      </c>
      <c r="F24" s="28">
        <v>2</v>
      </c>
      <c r="G24" s="29" t="str">
        <f>IF(OR(D24="",F24=""),"chưa rõ",IF(F24&gt;D24,"FRACILE",IF(D24&gt;F24,"Vivoire","hoà")))</f>
        <v>chưa rõ</v>
      </c>
      <c r="H24" s="25" t="s">
        <v>169</v>
      </c>
      <c r="I24" s="30" t="s">
        <v>170</v>
      </c>
    </row>
    <row r="25" ht="44" customHeight="1" spans="1:9" x14ac:dyDescent="0.25">
      <c r="A25" s="25" t="s">
        <v>14</v>
      </c>
      <c r="B25" s="26" t="s">
        <v>171</v>
      </c>
      <c r="C25" s="27" t="s">
        <v>117</v>
      </c>
      <c r="D25" s="28"/>
      <c r="E25" s="27" t="s">
        <v>172</v>
      </c>
      <c r="F25" s="28">
        <v>2</v>
      </c>
      <c r="G25" s="29" t="str">
        <f>IF(OR(D25="",F25=""),"chưa rõ",IF(F25&gt;D25,"FRACILE",IF(D25&gt;F25,"Vivoire","hoà")))</f>
        <v>chưa rõ</v>
      </c>
      <c r="H25" s="25" t="s">
        <v>80</v>
      </c>
      <c r="I25" s="30" t="s">
        <v>173</v>
      </c>
    </row>
    <row r="26" ht="44" customHeight="1" spans="1:9" x14ac:dyDescent="0.25">
      <c r="A26" s="19" t="s">
        <v>14</v>
      </c>
      <c r="B26" s="20" t="s">
        <v>174</v>
      </c>
      <c r="C26" s="21" t="s">
        <v>175</v>
      </c>
      <c r="D26" s="22">
        <v>2</v>
      </c>
      <c r="E26" s="21" t="s">
        <v>176</v>
      </c>
      <c r="F26" s="22">
        <v>2</v>
      </c>
      <c r="G26" s="23" t="str">
        <f>IF(OR(D26="",F26=""),"chưa rõ",IF(F26&gt;D26,"FRACILE",IF(D26&gt;F26,"Vivoire","hoà")))</f>
        <v>hoà</v>
      </c>
      <c r="H26" s="19" t="s">
        <v>80</v>
      </c>
      <c r="I26" s="24" t="s">
        <v>177</v>
      </c>
    </row>
    <row r="27" ht="44" customHeight="1" spans="1:9" x14ac:dyDescent="0.25">
      <c r="A27" s="25" t="s">
        <v>14</v>
      </c>
      <c r="B27" s="26" t="s">
        <v>178</v>
      </c>
      <c r="C27" s="27" t="s">
        <v>117</v>
      </c>
      <c r="D27" s="28"/>
      <c r="E27" s="27" t="s">
        <v>179</v>
      </c>
      <c r="F27" s="28">
        <v>2</v>
      </c>
      <c r="G27" s="29" t="str">
        <f>IF(OR(D27="",F27=""),"chưa rõ",IF(F27&gt;D27,"FRACILE",IF(D27&gt;F27,"Vivoire","hoà")))</f>
        <v>chưa rõ</v>
      </c>
      <c r="H27" s="25" t="s">
        <v>180</v>
      </c>
      <c r="I27" s="30" t="s">
        <v>181</v>
      </c>
    </row>
    <row r="28" ht="44" customHeight="1" spans="1:9" x14ac:dyDescent="0.25">
      <c r="A28" s="19" t="s">
        <v>14</v>
      </c>
      <c r="B28" s="20" t="s">
        <v>182</v>
      </c>
      <c r="C28" s="21" t="s">
        <v>183</v>
      </c>
      <c r="D28" s="22">
        <v>2</v>
      </c>
      <c r="E28" s="21" t="s">
        <v>184</v>
      </c>
      <c r="F28" s="22">
        <v>2</v>
      </c>
      <c r="G28" s="23" t="str">
        <f>IF(OR(D28="",F28=""),"chưa rõ",IF(F28&gt;D28,"FRACILE",IF(D28&gt;F28,"Vivoire","hoà")))</f>
        <v>hoà</v>
      </c>
      <c r="H28" s="19" t="s">
        <v>185</v>
      </c>
      <c r="I28" s="24" t="s">
        <v>186</v>
      </c>
    </row>
    <row r="29" ht="44" customHeight="1" spans="1:9" x14ac:dyDescent="0.25">
      <c r="A29" s="19" t="s">
        <v>14</v>
      </c>
      <c r="B29" s="20" t="s">
        <v>187</v>
      </c>
      <c r="C29" s="21" t="s">
        <v>188</v>
      </c>
      <c r="D29" s="22">
        <v>2</v>
      </c>
      <c r="E29" s="21" t="s">
        <v>189</v>
      </c>
      <c r="F29" s="22">
        <v>2</v>
      </c>
      <c r="G29" s="23" t="str">
        <f>IF(OR(D29="",F29=""),"chưa rõ",IF(F29&gt;D29,"FRACILE",IF(D29&gt;F29,"Vivoire","hoà")))</f>
        <v>hoà</v>
      </c>
      <c r="H29" s="19" t="s">
        <v>190</v>
      </c>
      <c r="I29" s="24" t="s">
        <v>191</v>
      </c>
    </row>
    <row r="30" ht="44" customHeight="1" spans="1:9" x14ac:dyDescent="0.25">
      <c r="A30" s="19" t="s">
        <v>14</v>
      </c>
      <c r="B30" s="20" t="s">
        <v>192</v>
      </c>
      <c r="C30" s="21" t="s">
        <v>193</v>
      </c>
      <c r="D30" s="22">
        <v>2</v>
      </c>
      <c r="E30" s="21" t="s">
        <v>194</v>
      </c>
      <c r="F30" s="22">
        <v>2</v>
      </c>
      <c r="G30" s="23" t="str">
        <f>IF(OR(D30="",F30=""),"chưa rõ",IF(F30&gt;D30,"FRACILE",IF(D30&gt;F30,"Vivoire","hoà")))</f>
        <v>hoà</v>
      </c>
      <c r="H30" s="19" t="s">
        <v>195</v>
      </c>
      <c r="I30" s="24" t="s">
        <v>196</v>
      </c>
    </row>
    <row r="31" ht="44" customHeight="1" spans="1:9" x14ac:dyDescent="0.25">
      <c r="A31" s="25" t="s">
        <v>14</v>
      </c>
      <c r="B31" s="26" t="s">
        <v>197</v>
      </c>
      <c r="C31" s="27" t="s">
        <v>117</v>
      </c>
      <c r="D31" s="28"/>
      <c r="E31" s="27" t="s">
        <v>198</v>
      </c>
      <c r="F31" s="28">
        <v>2</v>
      </c>
      <c r="G31" s="29" t="str">
        <f>IF(OR(D31="",F31=""),"chưa rõ",IF(F31&gt;D31,"FRACILE",IF(D31&gt;F31,"Vivoire","hoà")))</f>
        <v>chưa rõ</v>
      </c>
      <c r="H31" s="25" t="s">
        <v>80</v>
      </c>
      <c r="I31" s="30" t="s">
        <v>199</v>
      </c>
    </row>
    <row r="32" ht="44" customHeight="1" spans="1:9" x14ac:dyDescent="0.25">
      <c r="A32" s="19" t="s">
        <v>14</v>
      </c>
      <c r="B32" s="20" t="s">
        <v>200</v>
      </c>
      <c r="C32" s="21" t="s">
        <v>201</v>
      </c>
      <c r="D32" s="22">
        <v>2</v>
      </c>
      <c r="E32" s="21" t="s">
        <v>202</v>
      </c>
      <c r="F32" s="22">
        <v>2</v>
      </c>
      <c r="G32" s="23" t="str">
        <f>IF(OR(D32="",F32=""),"chưa rõ",IF(F32&gt;D32,"FRACILE",IF(D32&gt;F32,"Vivoire","hoà")))</f>
        <v>hoà</v>
      </c>
      <c r="H32" s="19" t="s">
        <v>203</v>
      </c>
      <c r="I32" s="24" t="s">
        <v>204</v>
      </c>
    </row>
    <row r="33" ht="44" customHeight="1" spans="1:9" x14ac:dyDescent="0.25">
      <c r="A33" s="25" t="s">
        <v>15</v>
      </c>
      <c r="B33" s="26" t="s">
        <v>205</v>
      </c>
      <c r="C33" s="27" t="s">
        <v>117</v>
      </c>
      <c r="D33" s="28"/>
      <c r="E33" s="27" t="s">
        <v>206</v>
      </c>
      <c r="F33" s="28">
        <v>2</v>
      </c>
      <c r="G33" s="29" t="str">
        <f>IF(OR(D33="",F33=""),"chưa rõ",IF(F33&gt;D33,"FRACILE",IF(D33&gt;F33,"Vivoire","hoà")))</f>
        <v>chưa rõ</v>
      </c>
      <c r="H33" s="25" t="s">
        <v>207</v>
      </c>
      <c r="I33" s="30" t="s">
        <v>208</v>
      </c>
    </row>
    <row r="34" ht="44" customHeight="1" spans="1:9" x14ac:dyDescent="0.25">
      <c r="A34" s="25" t="s">
        <v>15</v>
      </c>
      <c r="B34" s="26" t="s">
        <v>209</v>
      </c>
      <c r="C34" s="27" t="s">
        <v>117</v>
      </c>
      <c r="D34" s="28"/>
      <c r="E34" s="27" t="s">
        <v>210</v>
      </c>
      <c r="F34" s="28">
        <v>2</v>
      </c>
      <c r="G34" s="29" t="str">
        <f>IF(OR(D34="",F34=""),"chưa rõ",IF(F34&gt;D34,"FRACILE",IF(D34&gt;F34,"Vivoire","hoà")))</f>
        <v>chưa rõ</v>
      </c>
      <c r="H34" s="25" t="s">
        <v>207</v>
      </c>
      <c r="I34" s="30" t="s">
        <v>211</v>
      </c>
    </row>
    <row r="35" ht="44" customHeight="1" spans="1:9" x14ac:dyDescent="0.25">
      <c r="A35" s="25" t="s">
        <v>15</v>
      </c>
      <c r="B35" s="26" t="s">
        <v>212</v>
      </c>
      <c r="C35" s="27" t="s">
        <v>117</v>
      </c>
      <c r="D35" s="28"/>
      <c r="E35" s="27" t="s">
        <v>213</v>
      </c>
      <c r="F35" s="28">
        <v>2</v>
      </c>
      <c r="G35" s="29" t="str">
        <f>IF(OR(D35="",F35=""),"chưa rõ",IF(F35&gt;D35,"FRACILE",IF(D35&gt;F35,"Vivoire","hoà")))</f>
        <v>chưa rõ</v>
      </c>
      <c r="H35" s="25" t="s">
        <v>207</v>
      </c>
      <c r="I35" s="30" t="s">
        <v>214</v>
      </c>
    </row>
    <row r="36" ht="44" customHeight="1" spans="1:9" x14ac:dyDescent="0.25">
      <c r="A36" s="25" t="s">
        <v>15</v>
      </c>
      <c r="B36" s="26" t="s">
        <v>215</v>
      </c>
      <c r="C36" s="27" t="s">
        <v>117</v>
      </c>
      <c r="D36" s="28"/>
      <c r="E36" s="27" t="s">
        <v>216</v>
      </c>
      <c r="F36" s="28">
        <v>2</v>
      </c>
      <c r="G36" s="29" t="str">
        <f>IF(OR(D36="",F36=""),"chưa rõ",IF(F36&gt;D36,"FRACILE",IF(D36&gt;F36,"Vivoire","hoà")))</f>
        <v>chưa rõ</v>
      </c>
      <c r="H36" s="25" t="s">
        <v>207</v>
      </c>
      <c r="I36" s="30" t="s">
        <v>217</v>
      </c>
    </row>
    <row r="37" ht="44" customHeight="1" spans="1:9" x14ac:dyDescent="0.25">
      <c r="A37" s="25" t="s">
        <v>15</v>
      </c>
      <c r="B37" s="26" t="s">
        <v>218</v>
      </c>
      <c r="C37" s="27" t="s">
        <v>117</v>
      </c>
      <c r="D37" s="28"/>
      <c r="E37" s="27" t="s">
        <v>219</v>
      </c>
      <c r="F37" s="28">
        <v>2</v>
      </c>
      <c r="G37" s="29" t="str">
        <f>IF(OR(D37="",F37=""),"chưa rõ",IF(F37&gt;D37,"FRACILE",IF(D37&gt;F37,"Vivoire","hoà")))</f>
        <v>chưa rõ</v>
      </c>
      <c r="H37" s="25" t="s">
        <v>207</v>
      </c>
      <c r="I37" s="30" t="s">
        <v>220</v>
      </c>
    </row>
    <row r="38" ht="44" customHeight="1" spans="1:9" x14ac:dyDescent="0.25">
      <c r="A38" s="19" t="s">
        <v>15</v>
      </c>
      <c r="B38" s="20" t="s">
        <v>221</v>
      </c>
      <c r="C38" s="21" t="s">
        <v>124</v>
      </c>
      <c r="D38" s="22">
        <v>2</v>
      </c>
      <c r="E38" s="21" t="s">
        <v>124</v>
      </c>
      <c r="F38" s="22">
        <v>2</v>
      </c>
      <c r="G38" s="23" t="str">
        <f>IF(OR(D38="",F38=""),"chưa rõ",IF(F38&gt;D38,"FRACILE",IF(D38&gt;F38,"Vivoire","hoà")))</f>
        <v>hoà</v>
      </c>
      <c r="H38" s="19" t="s">
        <v>207</v>
      </c>
      <c r="I38" s="24" t="s">
        <v>222</v>
      </c>
    </row>
    <row r="39" ht="44" customHeight="1" spans="1:9" x14ac:dyDescent="0.25">
      <c r="A39" s="19" t="s">
        <v>15</v>
      </c>
      <c r="B39" s="20" t="s">
        <v>223</v>
      </c>
      <c r="C39" s="21" t="s">
        <v>224</v>
      </c>
      <c r="D39" s="22">
        <v>2</v>
      </c>
      <c r="E39" s="21" t="s">
        <v>225</v>
      </c>
      <c r="F39" s="22">
        <v>1</v>
      </c>
      <c r="G39" s="23" t="str">
        <f>IF(OR(D39="",F39=""),"chưa rõ",IF(F39&gt;D39,"FRACILE",IF(D39&gt;F39,"Vivoire","hoà")))</f>
        <v>Vivoire</v>
      </c>
      <c r="H39" s="19" t="s">
        <v>226</v>
      </c>
      <c r="I39" s="24" t="s">
        <v>227</v>
      </c>
    </row>
    <row r="40" ht="44" customHeight="1" spans="1:9" x14ac:dyDescent="0.25">
      <c r="A40" s="19" t="s">
        <v>15</v>
      </c>
      <c r="B40" s="20" t="s">
        <v>228</v>
      </c>
      <c r="C40" s="21" t="s">
        <v>124</v>
      </c>
      <c r="D40" s="22">
        <v>2</v>
      </c>
      <c r="E40" s="21" t="s">
        <v>229</v>
      </c>
      <c r="F40" s="22">
        <v>2</v>
      </c>
      <c r="G40" s="23" t="str">
        <f>IF(OR(D40="",F40=""),"chưa rõ",IF(F40&gt;D40,"FRACILE",IF(D40&gt;F40,"Vivoire","hoà")))</f>
        <v>hoà</v>
      </c>
      <c r="H40" s="19" t="s">
        <v>207</v>
      </c>
      <c r="I40" s="24" t="s">
        <v>230</v>
      </c>
    </row>
    <row r="41" ht="44" customHeight="1" spans="1:9" x14ac:dyDescent="0.25">
      <c r="A41" s="31" t="s">
        <v>15</v>
      </c>
      <c r="B41" s="32" t="s">
        <v>231</v>
      </c>
      <c r="C41" s="33" t="s">
        <v>124</v>
      </c>
      <c r="D41" s="34">
        <v>2</v>
      </c>
      <c r="E41" s="33" t="s">
        <v>151</v>
      </c>
      <c r="F41" s="34">
        <v>0</v>
      </c>
      <c r="G41" s="35" t="str">
        <f>IF(OR(D41="",F41=""),"chưa rõ",IF(F41&gt;D41,"FRACILE",IF(D41&gt;F41,"Vivoire","hoà")))</f>
        <v>Vivoire</v>
      </c>
      <c r="H41" s="31" t="s">
        <v>152</v>
      </c>
      <c r="I41" s="36" t="s">
        <v>153</v>
      </c>
    </row>
    <row r="42" ht="44" customHeight="1" spans="1:9" x14ac:dyDescent="0.25">
      <c r="A42" s="19" t="s">
        <v>15</v>
      </c>
      <c r="B42" s="20" t="s">
        <v>232</v>
      </c>
      <c r="C42" s="21" t="s">
        <v>233</v>
      </c>
      <c r="D42" s="22">
        <v>2</v>
      </c>
      <c r="E42" s="21" t="s">
        <v>234</v>
      </c>
      <c r="F42" s="22">
        <v>2</v>
      </c>
      <c r="G42" s="23" t="str">
        <f>IF(OR(D42="",F42=""),"chưa rõ",IF(F42&gt;D42,"FRACILE",IF(D42&gt;F42,"Vivoire","hoà")))</f>
        <v>hoà</v>
      </c>
      <c r="H42" s="19" t="s">
        <v>235</v>
      </c>
      <c r="I42" s="24" t="s">
        <v>236</v>
      </c>
    </row>
    <row r="43" ht="44" customHeight="1" spans="1:9" x14ac:dyDescent="0.25">
      <c r="A43" s="19" t="s">
        <v>15</v>
      </c>
      <c r="B43" s="20" t="s">
        <v>237</v>
      </c>
      <c r="C43" s="21" t="s">
        <v>143</v>
      </c>
      <c r="D43" s="22"/>
      <c r="E43" s="21" t="s">
        <v>238</v>
      </c>
      <c r="F43" s="22">
        <v>1</v>
      </c>
      <c r="G43" s="23" t="str">
        <f>IF(OR(D43="",F43=""),"chưa rõ",IF(F43&gt;D43,"FRACILE",IF(D43&gt;F43,"Vivoire","hoà")))</f>
        <v>chưa rõ</v>
      </c>
      <c r="H43" s="19" t="s">
        <v>80</v>
      </c>
      <c r="I43" s="24" t="s">
        <v>239</v>
      </c>
    </row>
    <row r="44" ht="44" customHeight="1" spans="1:9" x14ac:dyDescent="0.25">
      <c r="A44" s="25" t="s">
        <v>15</v>
      </c>
      <c r="B44" s="26" t="s">
        <v>240</v>
      </c>
      <c r="C44" s="27" t="s">
        <v>117</v>
      </c>
      <c r="D44" s="28"/>
      <c r="E44" s="27" t="s">
        <v>241</v>
      </c>
      <c r="F44" s="28">
        <v>2</v>
      </c>
      <c r="G44" s="29" t="str">
        <f>IF(OR(D44="",F44=""),"chưa rõ",IF(F44&gt;D44,"FRACILE",IF(D44&gt;F44,"Vivoire","hoà")))</f>
        <v>chưa rõ</v>
      </c>
      <c r="H44" s="25" t="s">
        <v>242</v>
      </c>
      <c r="I44" s="30" t="s">
        <v>243</v>
      </c>
    </row>
    <row r="45" ht="44" customHeight="1" spans="1:9" x14ac:dyDescent="0.25">
      <c r="A45" s="25" t="s">
        <v>15</v>
      </c>
      <c r="B45" s="26" t="s">
        <v>244</v>
      </c>
      <c r="C45" s="27" t="s">
        <v>117</v>
      </c>
      <c r="D45" s="28"/>
      <c r="E45" s="27" t="s">
        <v>245</v>
      </c>
      <c r="F45" s="28">
        <v>2</v>
      </c>
      <c r="G45" s="29" t="str">
        <f>IF(OR(D45="",F45=""),"chưa rõ",IF(F45&gt;D45,"FRACILE",IF(D45&gt;F45,"Vivoire","hoà")))</f>
        <v>chưa rõ</v>
      </c>
      <c r="H45" s="25" t="s">
        <v>246</v>
      </c>
      <c r="I45" s="30" t="s">
        <v>247</v>
      </c>
    </row>
    <row r="46" ht="44" customHeight="1" spans="1:9" x14ac:dyDescent="0.25">
      <c r="A46" s="19" t="s">
        <v>16</v>
      </c>
      <c r="B46" s="20" t="s">
        <v>248</v>
      </c>
      <c r="C46" s="21" t="s">
        <v>124</v>
      </c>
      <c r="D46" s="22">
        <v>2</v>
      </c>
      <c r="E46" s="21" t="s">
        <v>124</v>
      </c>
      <c r="F46" s="22">
        <v>2</v>
      </c>
      <c r="G46" s="23" t="str">
        <f>IF(OR(D46="",F46=""),"chưa rõ",IF(F46&gt;D46,"FRACILE",IF(D46&gt;F46,"Vivoire","hoà")))</f>
        <v>hoà</v>
      </c>
      <c r="H46" s="19" t="s">
        <v>80</v>
      </c>
      <c r="I46" s="24" t="s">
        <v>249</v>
      </c>
    </row>
    <row r="47" ht="44" customHeight="1" spans="1:9" x14ac:dyDescent="0.25">
      <c r="A47" s="19" t="s">
        <v>16</v>
      </c>
      <c r="B47" s="20" t="s">
        <v>250</v>
      </c>
      <c r="C47" s="21" t="s">
        <v>251</v>
      </c>
      <c r="D47" s="22">
        <v>2</v>
      </c>
      <c r="E47" s="21" t="s">
        <v>252</v>
      </c>
      <c r="F47" s="22">
        <v>1</v>
      </c>
      <c r="G47" s="23" t="str">
        <f>IF(OR(D47="",F47=""),"chưa rõ",IF(F47&gt;D47,"FRACILE",IF(D47&gt;F47,"Vivoire","hoà")))</f>
        <v>Vivoire</v>
      </c>
      <c r="H47" s="19" t="s">
        <v>253</v>
      </c>
      <c r="I47" s="24" t="s">
        <v>254</v>
      </c>
    </row>
    <row r="48" ht="44" customHeight="1" spans="1:9" x14ac:dyDescent="0.25">
      <c r="A48" s="19" t="s">
        <v>16</v>
      </c>
      <c r="B48" s="20" t="s">
        <v>255</v>
      </c>
      <c r="C48" s="21" t="s">
        <v>256</v>
      </c>
      <c r="D48" s="22">
        <v>2</v>
      </c>
      <c r="E48" s="21" t="s">
        <v>257</v>
      </c>
      <c r="F48" s="22">
        <v>1</v>
      </c>
      <c r="G48" s="23" t="str">
        <f>IF(OR(D48="",F48=""),"chưa rõ",IF(F48&gt;D48,"FRACILE",IF(D48&gt;F48,"Vivoire","hoà")))</f>
        <v>Vivoire</v>
      </c>
      <c r="H48" s="19" t="s">
        <v>258</v>
      </c>
      <c r="I48" s="24" t="s">
        <v>259</v>
      </c>
    </row>
    <row r="49" ht="44" customHeight="1" spans="1:9" x14ac:dyDescent="0.25">
      <c r="A49" s="19" t="s">
        <v>16</v>
      </c>
      <c r="B49" s="20" t="s">
        <v>260</v>
      </c>
      <c r="C49" s="21" t="s">
        <v>124</v>
      </c>
      <c r="D49" s="22">
        <v>2</v>
      </c>
      <c r="E49" s="21" t="s">
        <v>261</v>
      </c>
      <c r="F49" s="22">
        <v>1</v>
      </c>
      <c r="G49" s="23" t="str">
        <f>IF(OR(D49="",F49=""),"chưa rõ",IF(F49&gt;D49,"FRACILE",IF(D49&gt;F49,"Vivoire","hoà")))</f>
        <v>Vivoire</v>
      </c>
      <c r="H49" s="19" t="s">
        <v>80</v>
      </c>
      <c r="I49" s="24" t="s">
        <v>153</v>
      </c>
    </row>
    <row r="50" ht="44" customHeight="1" spans="1:9" x14ac:dyDescent="0.25">
      <c r="A50" s="25" t="s">
        <v>16</v>
      </c>
      <c r="B50" s="26" t="s">
        <v>262</v>
      </c>
      <c r="C50" s="27" t="s">
        <v>263</v>
      </c>
      <c r="D50" s="28">
        <v>1</v>
      </c>
      <c r="E50" s="27" t="s">
        <v>264</v>
      </c>
      <c r="F50" s="28">
        <v>2</v>
      </c>
      <c r="G50" s="29" t="str">
        <f>IF(OR(D50="",F50=""),"chưa rõ",IF(F50&gt;D50,"FRACILE",IF(D50&gt;F50,"Vivoire","hoà")))</f>
        <v>FRACILE</v>
      </c>
      <c r="H50" s="25" t="s">
        <v>80</v>
      </c>
      <c r="I50" s="30" t="s">
        <v>265</v>
      </c>
    </row>
    <row r="51" ht="44" customHeight="1" spans="1:9" x14ac:dyDescent="0.25">
      <c r="A51" s="25" t="s">
        <v>16</v>
      </c>
      <c r="B51" s="26" t="s">
        <v>266</v>
      </c>
      <c r="C51" s="27" t="s">
        <v>105</v>
      </c>
      <c r="D51" s="28"/>
      <c r="E51" s="27" t="s">
        <v>267</v>
      </c>
      <c r="F51" s="28">
        <v>2</v>
      </c>
      <c r="G51" s="29" t="str">
        <f>IF(OR(D51="",F51=""),"chưa rõ",IF(F51&gt;D51,"FRACILE",IF(D51&gt;F51,"Vivoire","hoà")))</f>
        <v>chưa rõ</v>
      </c>
      <c r="H51" s="25" t="s">
        <v>80</v>
      </c>
      <c r="I51" s="30" t="s">
        <v>268</v>
      </c>
    </row>
    <row r="52" ht="44" customHeight="1" spans="1:9" x14ac:dyDescent="0.25">
      <c r="A52" s="19" t="s">
        <v>17</v>
      </c>
      <c r="B52" s="20" t="s">
        <v>269</v>
      </c>
      <c r="C52" s="21" t="s">
        <v>124</v>
      </c>
      <c r="D52" s="22">
        <v>2</v>
      </c>
      <c r="E52" s="21" t="s">
        <v>270</v>
      </c>
      <c r="F52" s="22">
        <v>2</v>
      </c>
      <c r="G52" s="23" t="str">
        <f>IF(OR(D52="",F52=""),"chưa rõ",IF(F52&gt;D52,"FRACILE",IF(D52&gt;F52,"Vivoire","hoà")))</f>
        <v>hoà</v>
      </c>
      <c r="H52" s="19" t="s">
        <v>80</v>
      </c>
      <c r="I52" s="24" t="s">
        <v>271</v>
      </c>
    </row>
    <row r="53" ht="44" customHeight="1" spans="1:9" x14ac:dyDescent="0.25">
      <c r="A53" s="19" t="s">
        <v>17</v>
      </c>
      <c r="B53" s="20" t="s">
        <v>272</v>
      </c>
      <c r="C53" s="21" t="s">
        <v>124</v>
      </c>
      <c r="D53" s="22">
        <v>2</v>
      </c>
      <c r="E53" s="21" t="s">
        <v>273</v>
      </c>
      <c r="F53" s="22">
        <v>1</v>
      </c>
      <c r="G53" s="23" t="str">
        <f>IF(OR(D53="",F53=""),"chưa rõ",IF(F53&gt;D53,"FRACILE",IF(D53&gt;F53,"Vivoire","hoà")))</f>
        <v>Vivoire</v>
      </c>
      <c r="H53" s="19" t="s">
        <v>274</v>
      </c>
      <c r="I53" s="24" t="s">
        <v>275</v>
      </c>
    </row>
    <row r="54" ht="44" customHeight="1" spans="1:9" x14ac:dyDescent="0.25">
      <c r="A54" s="19" t="s">
        <v>17</v>
      </c>
      <c r="B54" s="20" t="s">
        <v>37</v>
      </c>
      <c r="C54" s="21" t="s">
        <v>124</v>
      </c>
      <c r="D54" s="22">
        <v>2</v>
      </c>
      <c r="E54" s="21" t="s">
        <v>276</v>
      </c>
      <c r="F54" s="22">
        <v>1</v>
      </c>
      <c r="G54" s="23" t="str">
        <f>IF(OR(D54="",F54=""),"chưa rõ",IF(F54&gt;D54,"FRACILE",IF(D54&gt;F54,"Vivoire","hoà")))</f>
        <v>Vivoire</v>
      </c>
      <c r="H54" s="19" t="s">
        <v>274</v>
      </c>
      <c r="I54" s="24" t="s">
        <v>277</v>
      </c>
    </row>
    <row r="55" ht="44" customHeight="1" spans="1:9" x14ac:dyDescent="0.25">
      <c r="A55" s="19" t="s">
        <v>17</v>
      </c>
      <c r="B55" s="20" t="s">
        <v>278</v>
      </c>
      <c r="C55" s="21" t="s">
        <v>279</v>
      </c>
      <c r="D55" s="22">
        <v>2</v>
      </c>
      <c r="E55" s="21" t="s">
        <v>280</v>
      </c>
      <c r="F55" s="22">
        <v>1</v>
      </c>
      <c r="G55" s="23" t="str">
        <f>IF(OR(D55="",F55=""),"chưa rõ",IF(F55&gt;D55,"FRACILE",IF(D55&gt;F55,"Vivoire","hoà")))</f>
        <v>Vivoire</v>
      </c>
      <c r="H55" s="19" t="s">
        <v>80</v>
      </c>
      <c r="I55" s="24" t="s">
        <v>281</v>
      </c>
    </row>
    <row r="56" ht="44" customHeight="1" spans="1:9" x14ac:dyDescent="0.25">
      <c r="A56" s="25" t="s">
        <v>17</v>
      </c>
      <c r="B56" s="26" t="s">
        <v>282</v>
      </c>
      <c r="C56" s="27" t="s">
        <v>283</v>
      </c>
      <c r="D56" s="28">
        <v>1</v>
      </c>
      <c r="E56" s="27" t="s">
        <v>284</v>
      </c>
      <c r="F56" s="28">
        <v>2</v>
      </c>
      <c r="G56" s="29" t="str">
        <f>IF(OR(D56="",F56=""),"chưa rõ",IF(F56&gt;D56,"FRACILE",IF(D56&gt;F56,"Vivoire","hoà")))</f>
        <v>FRACILE</v>
      </c>
      <c r="H56" s="25" t="s">
        <v>80</v>
      </c>
      <c r="I56" s="30" t="s">
        <v>285</v>
      </c>
    </row>
    <row r="57" ht="44" customHeight="1" spans="1:9" x14ac:dyDescent="0.25">
      <c r="A57" s="25" t="s">
        <v>17</v>
      </c>
      <c r="B57" s="26" t="s">
        <v>286</v>
      </c>
      <c r="C57" s="27" t="s">
        <v>117</v>
      </c>
      <c r="D57" s="28"/>
      <c r="E57" s="27" t="s">
        <v>287</v>
      </c>
      <c r="F57" s="28">
        <v>2</v>
      </c>
      <c r="G57" s="29" t="str">
        <f>IF(OR(D57="",F57=""),"chưa rõ",IF(F57&gt;D57,"FRACILE",IF(D57&gt;F57,"Vivoire","hoà")))</f>
        <v>chưa rõ</v>
      </c>
      <c r="H57" s="25" t="s">
        <v>80</v>
      </c>
      <c r="I57" s="30" t="s">
        <v>288</v>
      </c>
    </row>
  </sheetData>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8"/>
  <sheetFormatPr defaultRowHeight="15" outlineLevelRow="0" outlineLevelCol="0" x14ac:dyDescent="55"/>
  <cols>
    <col min="1" max="1" width="40" customWidth="1"/>
    <col min="2" max="2" width="30" customWidth="1"/>
    <col min="3" max="3" width="13" customWidth="1"/>
    <col min="4" max="4" width="28" customWidth="1"/>
    <col min="5" max="5" width="54" customWidth="1"/>
  </cols>
  <sheetData>
    <row r="1" spans="1:1" x14ac:dyDescent="0.25">
      <c r="A1" s="37" t="s">
        <v>289</v>
      </c>
    </row>
    <row r="2" spans="1:5" x14ac:dyDescent="0.25">
      <c r="A2" s="12" t="s">
        <v>290</v>
      </c>
      <c r="B2" s="12"/>
      <c r="C2" s="12"/>
      <c r="D2" s="12"/>
      <c r="E2" s="12"/>
    </row>
    <row r="3" spans="1:5" x14ac:dyDescent="0.25">
      <c r="A3" s="12"/>
      <c r="B3" s="12"/>
      <c r="C3" s="12"/>
      <c r="D3" s="12"/>
      <c r="E3" s="12"/>
    </row>
    <row r="5" ht="34" customHeight="1" spans="1:5" x14ac:dyDescent="0.25">
      <c r="A5" s="3" t="s">
        <v>291</v>
      </c>
      <c r="B5" s="3" t="s">
        <v>292</v>
      </c>
      <c r="C5" s="3" t="s">
        <v>293</v>
      </c>
      <c r="D5" s="3" t="s">
        <v>294</v>
      </c>
      <c r="E5" s="3" t="s">
        <v>295</v>
      </c>
    </row>
    <row r="6" ht="42" customHeight="1" spans="1:5" x14ac:dyDescent="0.25">
      <c r="A6" s="21" t="s">
        <v>296</v>
      </c>
      <c r="B6" s="21" t="s">
        <v>297</v>
      </c>
      <c r="C6" s="19" t="s">
        <v>298</v>
      </c>
      <c r="D6" s="21" t="s">
        <v>80</v>
      </c>
      <c r="E6" s="21" t="s">
        <v>299</v>
      </c>
    </row>
    <row r="7" ht="42" customHeight="1" spans="1:5" x14ac:dyDescent="0.25">
      <c r="A7" s="21" t="s">
        <v>300</v>
      </c>
      <c r="B7" s="21" t="s">
        <v>301</v>
      </c>
      <c r="C7" s="19" t="s">
        <v>298</v>
      </c>
      <c r="D7" s="21" t="s">
        <v>80</v>
      </c>
      <c r="E7" s="21" t="s">
        <v>302</v>
      </c>
    </row>
    <row r="8" ht="42" customHeight="1" spans="1:5" x14ac:dyDescent="0.25">
      <c r="A8" s="21" t="s">
        <v>303</v>
      </c>
      <c r="B8" s="21" t="s">
        <v>304</v>
      </c>
      <c r="C8" s="19" t="s">
        <v>298</v>
      </c>
      <c r="D8" s="21" t="s">
        <v>305</v>
      </c>
      <c r="E8" s="21" t="s">
        <v>306</v>
      </c>
    </row>
    <row r="9" ht="42" customHeight="1" spans="1:5" x14ac:dyDescent="0.25">
      <c r="A9" s="21" t="s">
        <v>212</v>
      </c>
      <c r="B9" s="21" t="s">
        <v>307</v>
      </c>
      <c r="C9" s="19" t="s">
        <v>298</v>
      </c>
      <c r="D9" s="21" t="s">
        <v>80</v>
      </c>
      <c r="E9" s="21" t="s">
        <v>308</v>
      </c>
    </row>
    <row r="10" ht="42" customHeight="1" spans="1:5" x14ac:dyDescent="0.25">
      <c r="A10" s="21" t="s">
        <v>309</v>
      </c>
      <c r="B10" s="21" t="s">
        <v>310</v>
      </c>
      <c r="C10" s="19" t="s">
        <v>298</v>
      </c>
      <c r="D10" s="21" t="s">
        <v>80</v>
      </c>
      <c r="E10" s="21" t="s">
        <v>311</v>
      </c>
    </row>
    <row r="11" ht="42" customHeight="1" spans="1:5" x14ac:dyDescent="0.25">
      <c r="A11" s="21" t="s">
        <v>312</v>
      </c>
      <c r="B11" s="21" t="s">
        <v>313</v>
      </c>
      <c r="C11" s="19" t="s">
        <v>298</v>
      </c>
      <c r="D11" s="21" t="s">
        <v>80</v>
      </c>
      <c r="E11" s="21" t="s">
        <v>314</v>
      </c>
    </row>
    <row r="12" ht="42" customHeight="1" spans="1:5" x14ac:dyDescent="0.25">
      <c r="A12" s="21" t="s">
        <v>315</v>
      </c>
      <c r="B12" s="21" t="s">
        <v>316</v>
      </c>
      <c r="C12" s="19" t="s">
        <v>298</v>
      </c>
      <c r="D12" s="21" t="s">
        <v>317</v>
      </c>
      <c r="E12" s="21" t="s">
        <v>318</v>
      </c>
    </row>
    <row r="13" ht="42" customHeight="1" spans="1:5" x14ac:dyDescent="0.25">
      <c r="A13" s="21" t="s">
        <v>319</v>
      </c>
      <c r="B13" s="21" t="s">
        <v>320</v>
      </c>
      <c r="C13" s="19" t="s">
        <v>298</v>
      </c>
      <c r="D13" s="21" t="s">
        <v>80</v>
      </c>
      <c r="E13" s="21" t="s">
        <v>153</v>
      </c>
    </row>
    <row r="14" ht="42" customHeight="1" spans="1:5" x14ac:dyDescent="0.25">
      <c r="A14" s="21" t="s">
        <v>218</v>
      </c>
      <c r="B14" s="21" t="s">
        <v>321</v>
      </c>
      <c r="C14" s="19" t="s">
        <v>298</v>
      </c>
      <c r="D14" s="21" t="s">
        <v>322</v>
      </c>
      <c r="E14" s="21" t="s">
        <v>323</v>
      </c>
    </row>
    <row r="15" ht="42" customHeight="1" spans="1:5" x14ac:dyDescent="0.25">
      <c r="A15" s="21" t="s">
        <v>324</v>
      </c>
      <c r="B15" s="21" t="s">
        <v>325</v>
      </c>
      <c r="C15" s="19" t="s">
        <v>298</v>
      </c>
      <c r="D15" s="21" t="s">
        <v>326</v>
      </c>
      <c r="E15" s="21" t="s">
        <v>327</v>
      </c>
    </row>
    <row r="16" ht="42" customHeight="1" spans="1:5" x14ac:dyDescent="0.25">
      <c r="A16" s="27" t="s">
        <v>328</v>
      </c>
      <c r="B16" s="27" t="s">
        <v>329</v>
      </c>
      <c r="C16" s="25" t="s">
        <v>330</v>
      </c>
      <c r="D16" s="27" t="s">
        <v>331</v>
      </c>
      <c r="E16" s="27" t="s">
        <v>332</v>
      </c>
    </row>
    <row r="17" ht="42" customHeight="1" spans="1:5" x14ac:dyDescent="0.25">
      <c r="A17" s="27" t="s">
        <v>333</v>
      </c>
      <c r="B17" s="27" t="s">
        <v>334</v>
      </c>
      <c r="C17" s="25" t="s">
        <v>330</v>
      </c>
      <c r="D17" s="27" t="s">
        <v>335</v>
      </c>
      <c r="E17" s="27" t="s">
        <v>336</v>
      </c>
    </row>
    <row r="18" ht="42" customHeight="1" spans="1:5" x14ac:dyDescent="0.25">
      <c r="A18" s="27" t="s">
        <v>337</v>
      </c>
      <c r="B18" s="27" t="s">
        <v>338</v>
      </c>
      <c r="C18" s="25" t="s">
        <v>339</v>
      </c>
      <c r="D18" s="27" t="s">
        <v>80</v>
      </c>
      <c r="E18" s="27" t="s">
        <v>340</v>
      </c>
    </row>
    <row r="19" ht="42" customHeight="1" spans="1:5" x14ac:dyDescent="0.25">
      <c r="A19" s="27" t="s">
        <v>341</v>
      </c>
      <c r="B19" s="27" t="s">
        <v>342</v>
      </c>
      <c r="C19" s="25" t="s">
        <v>330</v>
      </c>
      <c r="D19" s="27" t="s">
        <v>331</v>
      </c>
      <c r="E19" s="27" t="s">
        <v>343</v>
      </c>
    </row>
    <row r="20" ht="42" customHeight="1" spans="1:5" x14ac:dyDescent="0.25">
      <c r="A20" s="27" t="s">
        <v>344</v>
      </c>
      <c r="B20" s="27" t="s">
        <v>345</v>
      </c>
      <c r="C20" s="25" t="s">
        <v>330</v>
      </c>
      <c r="D20" s="27" t="s">
        <v>331</v>
      </c>
      <c r="E20" s="27" t="s">
        <v>346</v>
      </c>
    </row>
    <row r="21" ht="42" customHeight="1" spans="1:5" x14ac:dyDescent="0.25">
      <c r="A21" s="27" t="s">
        <v>347</v>
      </c>
      <c r="B21" s="27" t="s">
        <v>345</v>
      </c>
      <c r="C21" s="25" t="s">
        <v>348</v>
      </c>
      <c r="D21" s="27" t="s">
        <v>80</v>
      </c>
      <c r="E21" s="27" t="s">
        <v>349</v>
      </c>
    </row>
    <row r="24" spans="1:1" x14ac:dyDescent="0.25">
      <c r="A24" s="38" t="s">
        <v>350</v>
      </c>
    </row>
    <row r="25" ht="30" customHeight="1" spans="1:5" x14ac:dyDescent="0.25">
      <c r="A25" s="18" t="s">
        <v>351</v>
      </c>
      <c r="B25" s="18"/>
      <c r="C25" s="18"/>
      <c r="D25" s="18"/>
      <c r="E25" s="18"/>
    </row>
    <row r="26" spans="1:5" x14ac:dyDescent="0.25">
      <c r="A26" s="18"/>
      <c r="B26" s="18"/>
      <c r="C26" s="18"/>
      <c r="D26" s="18"/>
      <c r="E26" s="18"/>
    </row>
    <row r="27" spans="1:5" x14ac:dyDescent="0.25">
      <c r="A27" s="18"/>
      <c r="B27" s="18"/>
      <c r="C27" s="18"/>
      <c r="D27" s="18"/>
      <c r="E27" s="18"/>
    </row>
    <row r="28" spans="1:5" x14ac:dyDescent="0.25">
      <c r="A28" s="18"/>
      <c r="B28" s="18"/>
      <c r="C28" s="18"/>
      <c r="D28" s="18"/>
      <c r="E28" s="18"/>
    </row>
  </sheetData>
  <mergeCells count="2">
    <mergeCell ref="A2:E3"/>
    <mergeCell ref="A25:E28"/>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3"/>
  <sheetFormatPr defaultRowHeight="15" outlineLevelRow="0" outlineLevelCol="0" x14ac:dyDescent="55"/>
  <cols>
    <col min="1" max="1" width="32" customWidth="1"/>
    <col min="2" max="2" width="12" customWidth="1"/>
    <col min="3" max="3" width="54" customWidth="1"/>
    <col min="4" max="4" width="14" customWidth="1"/>
  </cols>
  <sheetData>
    <row r="1" spans="1:1" x14ac:dyDescent="0.25">
      <c r="A1" s="37" t="s">
        <v>352</v>
      </c>
    </row>
    <row r="3" ht="34" customHeight="1" spans="1:4" x14ac:dyDescent="0.25">
      <c r="A3" s="3" t="s">
        <v>353</v>
      </c>
      <c r="B3" s="3" t="s">
        <v>354</v>
      </c>
      <c r="C3" s="3" t="s">
        <v>355</v>
      </c>
      <c r="D3" s="3" t="s">
        <v>356</v>
      </c>
    </row>
    <row r="4" spans="1:4" x14ac:dyDescent="0.25">
      <c r="A4" s="39" t="s">
        <v>357</v>
      </c>
      <c r="B4" s="40">
        <v>40</v>
      </c>
      <c r="C4" s="41" t="s">
        <v>358</v>
      </c>
      <c r="D4" s="42" t="s">
        <v>359</v>
      </c>
    </row>
    <row r="5" spans="1:4" x14ac:dyDescent="0.25">
      <c r="A5" s="39" t="s">
        <v>360</v>
      </c>
      <c r="B5" s="40">
        <v>413</v>
      </c>
      <c r="C5" s="41" t="s">
        <v>361</v>
      </c>
      <c r="D5" s="42" t="s">
        <v>359</v>
      </c>
    </row>
    <row r="6" spans="1:4" x14ac:dyDescent="0.25">
      <c r="A6" s="39" t="s">
        <v>362</v>
      </c>
      <c r="B6" s="40">
        <v>248</v>
      </c>
      <c r="C6" s="41" t="s">
        <v>363</v>
      </c>
      <c r="D6" s="42" t="s">
        <v>359</v>
      </c>
    </row>
    <row r="7" spans="1:4" x14ac:dyDescent="0.25">
      <c r="A7" s="39" t="s">
        <v>364</v>
      </c>
      <c r="B7" s="40">
        <v>22</v>
      </c>
      <c r="C7" s="41" t="s">
        <v>365</v>
      </c>
      <c r="D7" s="42" t="s">
        <v>366</v>
      </c>
    </row>
    <row r="8" spans="1:4" x14ac:dyDescent="0.25">
      <c r="A8" s="39" t="s">
        <v>367</v>
      </c>
      <c r="B8" s="40">
        <v>2</v>
      </c>
      <c r="C8" s="41" t="s">
        <v>368</v>
      </c>
      <c r="D8" s="42" t="s">
        <v>366</v>
      </c>
    </row>
    <row r="9" spans="1:4" x14ac:dyDescent="0.25">
      <c r="A9" s="39" t="s">
        <v>369</v>
      </c>
      <c r="B9" s="40">
        <v>23</v>
      </c>
      <c r="C9" s="41" t="s">
        <v>370</v>
      </c>
      <c r="D9" s="42" t="s">
        <v>359</v>
      </c>
    </row>
    <row r="10" spans="1:4" x14ac:dyDescent="0.25">
      <c r="A10" s="39" t="s">
        <v>371</v>
      </c>
      <c r="B10" s="40">
        <v>12</v>
      </c>
      <c r="C10" s="41" t="s">
        <v>372</v>
      </c>
      <c r="D10" s="42" t="s">
        <v>359</v>
      </c>
    </row>
    <row r="11" spans="1:4" x14ac:dyDescent="0.25">
      <c r="A11" s="39" t="s">
        <v>373</v>
      </c>
      <c r="B11" s="40">
        <v>131</v>
      </c>
      <c r="C11" s="41" t="s">
        <v>374</v>
      </c>
      <c r="D11" s="42" t="s">
        <v>359</v>
      </c>
    </row>
    <row r="12" spans="1:4" x14ac:dyDescent="0.25">
      <c r="A12" s="39" t="s">
        <v>375</v>
      </c>
      <c r="B12" s="40">
        <v>18</v>
      </c>
      <c r="C12" s="41" t="s">
        <v>376</v>
      </c>
      <c r="D12" s="42" t="s">
        <v>366</v>
      </c>
    </row>
    <row r="13" spans="1:4" x14ac:dyDescent="0.25">
      <c r="A13" s="39" t="s">
        <v>377</v>
      </c>
      <c r="B13" s="40">
        <v>57</v>
      </c>
      <c r="C13" s="41" t="s">
        <v>378</v>
      </c>
      <c r="D13" s="42" t="s">
        <v>366</v>
      </c>
    </row>
    <row r="14" spans="1:4" x14ac:dyDescent="0.25">
      <c r="A14" s="39" t="s">
        <v>379</v>
      </c>
      <c r="B14" s="40">
        <v>14</v>
      </c>
      <c r="C14" s="41" t="s">
        <v>380</v>
      </c>
      <c r="D14" s="42" t="s">
        <v>381</v>
      </c>
    </row>
    <row r="15" spans="1:4" x14ac:dyDescent="0.25">
      <c r="A15" s="39" t="s">
        <v>382</v>
      </c>
      <c r="B15" s="40">
        <v>0</v>
      </c>
      <c r="C15" s="41" t="s">
        <v>383</v>
      </c>
      <c r="D15" s="42" t="s">
        <v>359</v>
      </c>
    </row>
    <row r="16" spans="1:4" x14ac:dyDescent="0.25">
      <c r="A16" s="39" t="s">
        <v>384</v>
      </c>
      <c r="B16" s="40">
        <v>0</v>
      </c>
      <c r="C16" s="41" t="s">
        <v>385</v>
      </c>
      <c r="D16" s="42" t="s">
        <v>359</v>
      </c>
    </row>
    <row r="17" spans="1:4" x14ac:dyDescent="0.25">
      <c r="A17" s="39" t="s">
        <v>386</v>
      </c>
      <c r="B17" s="40">
        <v>8</v>
      </c>
      <c r="C17" s="41" t="s">
        <v>387</v>
      </c>
      <c r="D17" s="42" t="s">
        <v>388</v>
      </c>
    </row>
    <row r="18" spans="1:4" x14ac:dyDescent="0.25">
      <c r="A18" s="39" t="s">
        <v>389</v>
      </c>
      <c r="B18" s="40">
        <v>0</v>
      </c>
      <c r="C18" s="41" t="s">
        <v>390</v>
      </c>
      <c r="D18" s="42" t="s">
        <v>366</v>
      </c>
    </row>
    <row r="19" spans="1:4" x14ac:dyDescent="0.25">
      <c r="A19" s="39" t="s">
        <v>391</v>
      </c>
      <c r="B19" s="40">
        <v>1</v>
      </c>
      <c r="C19" s="41" t="s">
        <v>392</v>
      </c>
      <c r="D19" s="42" t="s">
        <v>381</v>
      </c>
    </row>
    <row r="21" spans="1:3" x14ac:dyDescent="0.25">
      <c r="A21" s="13" t="s">
        <v>393</v>
      </c>
      <c r="B21" s="43">
        <f>B6/B5</f>
        <v>0.5618279569892473</v>
      </c>
      <c r="C21" s="44" t="s">
        <v>394</v>
      </c>
    </row>
    <row r="22" spans="1:3" x14ac:dyDescent="0.25">
      <c r="A22" s="13" t="s">
        <v>395</v>
      </c>
      <c r="B22" s="45">
        <f>B5-B6</f>
        <v>163</v>
      </c>
      <c r="C22" s="44" t="s">
        <v>396</v>
      </c>
    </row>
    <row r="25" spans="1:1" x14ac:dyDescent="0.25">
      <c r="A25" s="38" t="s">
        <v>397</v>
      </c>
    </row>
    <row r="26" ht="34" customHeight="1" spans="1:4" x14ac:dyDescent="0.25">
      <c r="A26" s="3" t="s">
        <v>353</v>
      </c>
      <c r="B26" s="3" t="s">
        <v>354</v>
      </c>
      <c r="C26" s="3" t="s">
        <v>398</v>
      </c>
      <c r="D26" s="3" t="s">
        <v>399</v>
      </c>
    </row>
    <row r="27" spans="1:4" x14ac:dyDescent="0.25">
      <c r="A27" s="19" t="s">
        <v>146</v>
      </c>
      <c r="B27" s="21" t="s">
        <v>400</v>
      </c>
      <c r="C27" s="21" t="s">
        <v>401</v>
      </c>
      <c r="D27" s="21" t="s">
        <v>402</v>
      </c>
    </row>
    <row r="28" spans="1:4" x14ac:dyDescent="0.25">
      <c r="A28" s="19" t="s">
        <v>403</v>
      </c>
      <c r="B28" s="21" t="s">
        <v>404</v>
      </c>
      <c r="C28" s="21" t="s">
        <v>405</v>
      </c>
      <c r="D28" s="21" t="s">
        <v>402</v>
      </c>
    </row>
    <row r="29" spans="1:4" x14ac:dyDescent="0.25">
      <c r="A29" s="19" t="s">
        <v>406</v>
      </c>
      <c r="B29" s="21" t="s">
        <v>404</v>
      </c>
      <c r="C29" s="21" t="s">
        <v>405</v>
      </c>
      <c r="D29" s="21" t="s">
        <v>402</v>
      </c>
    </row>
    <row r="30" spans="1:4" x14ac:dyDescent="0.25">
      <c r="A30" s="19" t="s">
        <v>407</v>
      </c>
      <c r="B30" s="21" t="s">
        <v>408</v>
      </c>
      <c r="C30" s="21" t="s">
        <v>405</v>
      </c>
      <c r="D30" s="21" t="s">
        <v>402</v>
      </c>
    </row>
    <row r="31" spans="1:4" x14ac:dyDescent="0.25">
      <c r="A31" s="46" t="s">
        <v>409</v>
      </c>
      <c r="B31" s="47" t="s">
        <v>410</v>
      </c>
      <c r="C31" s="47" t="s">
        <v>411</v>
      </c>
      <c r="D31" s="47" t="s">
        <v>412</v>
      </c>
    </row>
    <row r="32" spans="1:4" x14ac:dyDescent="0.25">
      <c r="A32" s="46" t="s">
        <v>413</v>
      </c>
      <c r="B32" s="47" t="s">
        <v>414</v>
      </c>
      <c r="C32" s="47" t="s">
        <v>415</v>
      </c>
      <c r="D32" s="47" t="s">
        <v>412</v>
      </c>
    </row>
    <row r="33" spans="1:4" x14ac:dyDescent="0.25">
      <c r="A33" s="19" t="s">
        <v>416</v>
      </c>
      <c r="B33" s="21" t="s">
        <v>417</v>
      </c>
      <c r="C33" s="21" t="s">
        <v>418</v>
      </c>
      <c r="D33" s="21" t="s">
        <v>419</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7"/>
  <sheetFormatPr defaultRowHeight="15" outlineLevelRow="0" outlineLevelCol="0" x14ac:dyDescent="55"/>
  <cols>
    <col min="1" max="1" width="5" customWidth="1"/>
    <col min="2" max="2" width="42" customWidth="1"/>
    <col min="3" max="3" width="64" customWidth="1"/>
    <col min="4" max="4" width="40" customWidth="1"/>
    <col min="5" max="5" width="16" customWidth="1"/>
  </cols>
  <sheetData>
    <row r="1" spans="1:1" x14ac:dyDescent="0.25">
      <c r="A1" s="37" t="s">
        <v>420</v>
      </c>
    </row>
    <row r="3" ht="34" customHeight="1" spans="1:5" x14ac:dyDescent="0.25">
      <c r="A3" s="3" t="s">
        <v>421</v>
      </c>
      <c r="B3" s="3" t="s">
        <v>422</v>
      </c>
      <c r="C3" s="3" t="s">
        <v>423</v>
      </c>
      <c r="D3" s="3" t="s">
        <v>424</v>
      </c>
      <c r="E3" s="3" t="s">
        <v>425</v>
      </c>
    </row>
    <row r="4" ht="62" customHeight="1" spans="1:5" x14ac:dyDescent="0.25">
      <c r="A4" s="22">
        <v>1</v>
      </c>
      <c r="B4" s="19" t="s">
        <v>426</v>
      </c>
      <c r="C4" s="21" t="s">
        <v>427</v>
      </c>
      <c r="D4" s="21" t="s">
        <v>428</v>
      </c>
      <c r="E4" s="21" t="s">
        <v>429</v>
      </c>
    </row>
    <row r="5" ht="62" customHeight="1" spans="1:5" x14ac:dyDescent="0.25">
      <c r="A5" s="22">
        <v>2</v>
      </c>
      <c r="B5" s="19" t="s">
        <v>430</v>
      </c>
      <c r="C5" s="21" t="s">
        <v>431</v>
      </c>
      <c r="D5" s="21" t="s">
        <v>432</v>
      </c>
      <c r="E5" s="21" t="s">
        <v>433</v>
      </c>
    </row>
    <row r="6" ht="62" customHeight="1" spans="1:5" x14ac:dyDescent="0.25">
      <c r="A6" s="22">
        <v>3</v>
      </c>
      <c r="B6" s="19" t="s">
        <v>434</v>
      </c>
      <c r="C6" s="21" t="s">
        <v>435</v>
      </c>
      <c r="D6" s="21" t="s">
        <v>436</v>
      </c>
      <c r="E6" s="21" t="s">
        <v>437</v>
      </c>
    </row>
    <row r="7" ht="62" customHeight="1" spans="1:5" x14ac:dyDescent="0.25">
      <c r="A7" s="22">
        <v>4</v>
      </c>
      <c r="B7" s="19" t="s">
        <v>438</v>
      </c>
      <c r="C7" s="21" t="s">
        <v>439</v>
      </c>
      <c r="D7" s="21" t="s">
        <v>440</v>
      </c>
      <c r="E7" s="21" t="s">
        <v>441</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Tổng quan</vt:lpstr>
      <vt:lpstr>So sánh chi tiết</vt:lpstr>
      <vt:lpstr>Tài khoản giáo viên</vt:lpstr>
      <vt:lpstr>Số liệu đo được</vt:lpstr>
      <vt:lpstr>Việc cần làm</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FRACILE</dc:creator>
  <dc:title/>
  <dc:subject/>
  <dc:description/>
  <cp:keywords/>
  <cp:category/>
  <cp:lastModifiedBy>Unknown</cp:lastModifiedBy>
  <dcterms:created xsi:type="dcterms:W3CDTF">2026-09-08T17:00:00Z</dcterms:created>
  <dcterms:modified xsi:type="dcterms:W3CDTF">2026-10-02T06:15:12Z</dcterms:modified>
</cp:coreProperties>
</file>